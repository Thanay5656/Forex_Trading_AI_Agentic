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nay\OneDrive\Desktop - Copy\Forex\"/>
    </mc:Choice>
  </mc:AlternateContent>
  <xr:revisionPtr revIDLastSave="0" documentId="13_ncr:1_{DC52E51B-8FC0-41B2-AAB4-8F49E8AA6698}" xr6:coauthVersionLast="47" xr6:coauthVersionMax="47" xr10:uidLastSave="{00000000-0000-0000-0000-000000000000}"/>
  <bookViews>
    <workbookView xWindow="-108" yWindow="-108" windowWidth="23256" windowHeight="12456" tabRatio="649" xr2:uid="{00000000-000D-0000-FFFF-FFFF00000000}"/>
  </bookViews>
  <sheets>
    <sheet name="RSI_Validation" sheetId="1" r:id="rId1"/>
    <sheet name="Trade_Validation" sheetId="2" r:id="rId2"/>
    <sheet name="Summary_CrossCheck" sheetId="3" r:id="rId3"/>
    <sheet name="MultiPair_Validatio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4" i="4" l="1"/>
  <c r="B123" i="4"/>
  <c r="B125" i="4" s="1"/>
  <c r="B122" i="4"/>
  <c r="B120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B87" i="4"/>
  <c r="B86" i="4"/>
  <c r="B88" i="4" s="1"/>
  <c r="B85" i="4"/>
  <c r="B83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B44" i="4"/>
  <c r="B43" i="4"/>
  <c r="B45" i="4" s="1"/>
  <c r="B42" i="4"/>
  <c r="B40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B41" i="4" s="1"/>
  <c r="B9" i="3"/>
  <c r="B53" i="2"/>
  <c r="B52" i="2"/>
  <c r="B54" i="2" s="1"/>
  <c r="C7" i="3" s="1"/>
  <c r="B51" i="2"/>
  <c r="C6" i="3" s="1"/>
  <c r="B48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J5" i="2"/>
  <c r="J6" i="2" s="1"/>
  <c r="I5" i="2"/>
  <c r="B49" i="2" s="1"/>
  <c r="B50" i="2" s="1"/>
  <c r="C5" i="3" s="1"/>
  <c r="F54" i="1"/>
  <c r="D54" i="1"/>
  <c r="E54" i="1" s="1"/>
  <c r="F53" i="1"/>
  <c r="D53" i="1"/>
  <c r="E53" i="1" s="1"/>
  <c r="D52" i="1"/>
  <c r="E52" i="1" s="1"/>
  <c r="F51" i="1"/>
  <c r="D51" i="1"/>
  <c r="E51" i="1" s="1"/>
  <c r="D50" i="1"/>
  <c r="F50" i="1" s="1"/>
  <c r="F49" i="1"/>
  <c r="E49" i="1"/>
  <c r="D49" i="1"/>
  <c r="D48" i="1"/>
  <c r="F48" i="1" s="1"/>
  <c r="D47" i="1"/>
  <c r="F47" i="1" s="1"/>
  <c r="F46" i="1"/>
  <c r="E46" i="1"/>
  <c r="D46" i="1"/>
  <c r="D45" i="1"/>
  <c r="D44" i="1"/>
  <c r="F44" i="1" s="1"/>
  <c r="F43" i="1"/>
  <c r="D43" i="1"/>
  <c r="E43" i="1" s="1"/>
  <c r="F42" i="1"/>
  <c r="D42" i="1"/>
  <c r="E42" i="1" s="1"/>
  <c r="D41" i="1"/>
  <c r="F41" i="1" s="1"/>
  <c r="D40" i="1"/>
  <c r="E40" i="1" s="1"/>
  <c r="F39" i="1"/>
  <c r="D39" i="1"/>
  <c r="E39" i="1" s="1"/>
  <c r="D38" i="1"/>
  <c r="F38" i="1" s="1"/>
  <c r="D37" i="1"/>
  <c r="F37" i="1" s="1"/>
  <c r="D36" i="1"/>
  <c r="F36" i="1" s="1"/>
  <c r="D35" i="1"/>
  <c r="F35" i="1" s="1"/>
  <c r="D34" i="1"/>
  <c r="F34" i="1" s="1"/>
  <c r="D33" i="1"/>
  <c r="F33" i="1" s="1"/>
  <c r="D32" i="1"/>
  <c r="F32" i="1" s="1"/>
  <c r="D31" i="1"/>
  <c r="F31" i="1" s="1"/>
  <c r="D30" i="1"/>
  <c r="F30" i="1" s="1"/>
  <c r="D29" i="1"/>
  <c r="F29" i="1" s="1"/>
  <c r="D28" i="1"/>
  <c r="F28" i="1" s="1"/>
  <c r="D27" i="1"/>
  <c r="F27" i="1" s="1"/>
  <c r="D26" i="1"/>
  <c r="F26" i="1" s="1"/>
  <c r="D25" i="1"/>
  <c r="F25" i="1" s="1"/>
  <c r="D24" i="1"/>
  <c r="F24" i="1" s="1"/>
  <c r="D23" i="1"/>
  <c r="F23" i="1" s="1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D6" i="1"/>
  <c r="F6" i="1" s="1"/>
  <c r="H5" i="1"/>
  <c r="G5" i="1"/>
  <c r="I5" i="1" s="1"/>
  <c r="B84" i="4" l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K5" i="2"/>
  <c r="E8" i="1"/>
  <c r="E12" i="1"/>
  <c r="E16" i="1"/>
  <c r="E20" i="1"/>
  <c r="E24" i="1"/>
  <c r="E28" i="1"/>
  <c r="E32" i="1"/>
  <c r="E36" i="1"/>
  <c r="E41" i="1"/>
  <c r="E50" i="1"/>
  <c r="H6" i="1"/>
  <c r="H7" i="1" s="1"/>
  <c r="B121" i="4"/>
  <c r="E6" i="1"/>
  <c r="G6" i="1" s="1"/>
  <c r="I6" i="1" s="1"/>
  <c r="E10" i="1"/>
  <c r="E48" i="1"/>
  <c r="J7" i="2"/>
  <c r="K6" i="2"/>
  <c r="E14" i="1"/>
  <c r="E18" i="1"/>
  <c r="E22" i="1"/>
  <c r="E26" i="1"/>
  <c r="E30" i="1"/>
  <c r="E34" i="1"/>
  <c r="E38" i="1"/>
  <c r="E45" i="1"/>
  <c r="F45" i="1"/>
  <c r="F40" i="1"/>
  <c r="E47" i="1"/>
  <c r="F52" i="1"/>
  <c r="E7" i="1"/>
  <c r="E9" i="1"/>
  <c r="E11" i="1"/>
  <c r="E13" i="1"/>
  <c r="E15" i="1"/>
  <c r="E17" i="1"/>
  <c r="E19" i="1"/>
  <c r="E21" i="1"/>
  <c r="E23" i="1"/>
  <c r="E25" i="1"/>
  <c r="E27" i="1"/>
  <c r="E29" i="1"/>
  <c r="E31" i="1"/>
  <c r="E33" i="1"/>
  <c r="E35" i="1"/>
  <c r="E37" i="1"/>
  <c r="E44" i="1"/>
  <c r="H40" i="1" l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G9" i="1"/>
  <c r="I9" i="1" s="1"/>
  <c r="K7" i="2"/>
  <c r="J8" i="2"/>
  <c r="G7" i="1"/>
  <c r="I7" i="1" s="1"/>
  <c r="G8" i="1"/>
  <c r="I8" i="1" s="1"/>
  <c r="J9" i="2" l="1"/>
  <c r="K8" i="2"/>
  <c r="G10" i="1"/>
  <c r="I10" i="1" l="1"/>
  <c r="G11" i="1"/>
  <c r="J10" i="2"/>
  <c r="K9" i="2"/>
  <c r="I11" i="1" l="1"/>
  <c r="G12" i="1"/>
  <c r="J11" i="2"/>
  <c r="K10" i="2"/>
  <c r="I12" i="1" l="1"/>
  <c r="G13" i="1"/>
  <c r="K11" i="2"/>
  <c r="J12" i="2"/>
  <c r="J13" i="2" l="1"/>
  <c r="K12" i="2"/>
  <c r="I13" i="1"/>
  <c r="G14" i="1"/>
  <c r="I14" i="1" l="1"/>
  <c r="G15" i="1"/>
  <c r="J14" i="2"/>
  <c r="K13" i="2"/>
  <c r="I15" i="1" l="1"/>
  <c r="G16" i="1"/>
  <c r="J15" i="2"/>
  <c r="K14" i="2"/>
  <c r="I16" i="1" l="1"/>
  <c r="G17" i="1"/>
  <c r="K15" i="2"/>
  <c r="J16" i="2"/>
  <c r="K16" i="2" l="1"/>
  <c r="J17" i="2"/>
  <c r="I17" i="1"/>
  <c r="G18" i="1"/>
  <c r="I18" i="1" l="1"/>
  <c r="G19" i="1"/>
  <c r="J18" i="2"/>
  <c r="K17" i="2"/>
  <c r="J19" i="2" l="1"/>
  <c r="K18" i="2"/>
  <c r="I19" i="1"/>
  <c r="G20" i="1"/>
  <c r="I20" i="1" l="1"/>
  <c r="G21" i="1"/>
  <c r="K19" i="2"/>
  <c r="J20" i="2"/>
  <c r="J21" i="2" l="1"/>
  <c r="K20" i="2"/>
  <c r="I21" i="1"/>
  <c r="G22" i="1"/>
  <c r="J22" i="2" l="1"/>
  <c r="K21" i="2"/>
  <c r="I22" i="1"/>
  <c r="G23" i="1"/>
  <c r="I23" i="1" l="1"/>
  <c r="G24" i="1"/>
  <c r="J23" i="2"/>
  <c r="K22" i="2"/>
  <c r="I24" i="1" l="1"/>
  <c r="G25" i="1"/>
  <c r="K23" i="2"/>
  <c r="J24" i="2"/>
  <c r="J25" i="2" l="1"/>
  <c r="K24" i="2"/>
  <c r="I25" i="1"/>
  <c r="G26" i="1"/>
  <c r="J26" i="2" l="1"/>
  <c r="K25" i="2"/>
  <c r="I26" i="1"/>
  <c r="G27" i="1"/>
  <c r="J27" i="2" l="1"/>
  <c r="K26" i="2"/>
  <c r="I27" i="1"/>
  <c r="G28" i="1"/>
  <c r="I28" i="1" l="1"/>
  <c r="G29" i="1"/>
  <c r="K27" i="2"/>
  <c r="J28" i="2"/>
  <c r="K28" i="2" l="1"/>
  <c r="J29" i="2"/>
  <c r="I29" i="1"/>
  <c r="G30" i="1"/>
  <c r="I30" i="1" l="1"/>
  <c r="G31" i="1"/>
  <c r="J30" i="2"/>
  <c r="K29" i="2"/>
  <c r="J31" i="2" l="1"/>
  <c r="K30" i="2"/>
  <c r="I31" i="1"/>
  <c r="G32" i="1"/>
  <c r="K31" i="2" l="1"/>
  <c r="J32" i="2"/>
  <c r="I32" i="1"/>
  <c r="G33" i="1"/>
  <c r="I33" i="1" l="1"/>
  <c r="G34" i="1"/>
  <c r="J33" i="2"/>
  <c r="K32" i="2"/>
  <c r="I34" i="1" l="1"/>
  <c r="G35" i="1"/>
  <c r="J34" i="2"/>
  <c r="K33" i="2"/>
  <c r="J35" i="2" l="1"/>
  <c r="K34" i="2"/>
  <c r="I35" i="1"/>
  <c r="G36" i="1"/>
  <c r="K35" i="2" l="1"/>
  <c r="J36" i="2"/>
  <c r="I36" i="1"/>
  <c r="G37" i="1"/>
  <c r="I37" i="1" l="1"/>
  <c r="G38" i="1"/>
  <c r="J37" i="2"/>
  <c r="K36" i="2"/>
  <c r="J38" i="2" l="1"/>
  <c r="K37" i="2"/>
  <c r="I38" i="1"/>
  <c r="K38" i="1" s="1"/>
  <c r="G39" i="1"/>
  <c r="J39" i="2" l="1"/>
  <c r="K38" i="2"/>
  <c r="I39" i="1"/>
  <c r="K39" i="1" s="1"/>
  <c r="G40" i="1"/>
  <c r="K39" i="2" l="1"/>
  <c r="J40" i="2"/>
  <c r="I40" i="1"/>
  <c r="K40" i="1" s="1"/>
  <c r="G41" i="1"/>
  <c r="I41" i="1" l="1"/>
  <c r="K41" i="1" s="1"/>
  <c r="G42" i="1"/>
  <c r="K40" i="2"/>
  <c r="J41" i="2"/>
  <c r="I42" i="1" l="1"/>
  <c r="K42" i="1" s="1"/>
  <c r="G43" i="1"/>
  <c r="J42" i="2"/>
  <c r="K41" i="2"/>
  <c r="J43" i="2" l="1"/>
  <c r="K42" i="2"/>
  <c r="I43" i="1"/>
  <c r="K43" i="1" s="1"/>
  <c r="G44" i="1"/>
  <c r="I44" i="1" l="1"/>
  <c r="G45" i="1"/>
  <c r="K43" i="2"/>
  <c r="J44" i="2"/>
  <c r="K44" i="2" s="1"/>
  <c r="I45" i="1" l="1"/>
  <c r="K45" i="1" s="1"/>
  <c r="G46" i="1"/>
  <c r="K44" i="1"/>
  <c r="C9" i="3"/>
  <c r="E9" i="3" s="1"/>
  <c r="I46" i="1" l="1"/>
  <c r="K46" i="1" s="1"/>
  <c r="G47" i="1"/>
  <c r="I47" i="1" l="1"/>
  <c r="K47" i="1" s="1"/>
  <c r="G48" i="1"/>
  <c r="I48" i="1" l="1"/>
  <c r="K48" i="1" s="1"/>
  <c r="G49" i="1"/>
  <c r="I49" i="1" l="1"/>
  <c r="K49" i="1" s="1"/>
  <c r="G50" i="1"/>
  <c r="I50" i="1" l="1"/>
  <c r="K50" i="1" s="1"/>
  <c r="G51" i="1"/>
  <c r="I51" i="1" l="1"/>
  <c r="K51" i="1" s="1"/>
  <c r="G52" i="1"/>
  <c r="I52" i="1" l="1"/>
  <c r="K52" i="1" s="1"/>
  <c r="G53" i="1"/>
  <c r="I53" i="1" l="1"/>
  <c r="K53" i="1" s="1"/>
  <c r="G54" i="1"/>
  <c r="I54" i="1" s="1"/>
  <c r="K54" i="1" s="1"/>
</calcChain>
</file>

<file path=xl/sharedStrings.xml><?xml version="1.0" encoding="utf-8"?>
<sst xmlns="http://schemas.openxmlformats.org/spreadsheetml/2006/main" count="639" uniqueCount="122">
  <si>
    <t>Row</t>
  </si>
  <si>
    <t>DateTime</t>
  </si>
  <si>
    <t>Close</t>
  </si>
  <si>
    <t>Change</t>
  </si>
  <si>
    <t>Gain</t>
  </si>
  <si>
    <t>Loss</t>
  </si>
  <si>
    <t>Avg Gain (EWM)</t>
  </si>
  <si>
    <t>Avg Loss (EWM)</t>
  </si>
  <si>
    <t>RSI (Excel)</t>
  </si>
  <si>
    <t>RSI (Notebook)</t>
  </si>
  <si>
    <t>Match?</t>
  </si>
  <si>
    <t>2023-01-01 00:00:00</t>
  </si>
  <si>
    <t>n/a (MACD warm-up)</t>
  </si>
  <si>
    <t>—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</si>
  <si>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</si>
  <si>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</si>
  <si>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</si>
  <si>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</si>
  <si>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</si>
  <si>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</si>
  <si>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</si>
  <si>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</si>
  <si>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</si>
  <si>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</si>
  <si>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</si>
  <si>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</si>
  <si>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</si>
  <si>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</si>
  <si>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</si>
  <si>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</si>
  <si>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</si>
  <si>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</si>
  <si>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</si>
  <si>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</si>
  <si>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</si>
  <si>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</si>
  <si>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</si>
  <si>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</si>
  <si>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</si>
  <si>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</si>
  <si>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</si>
  <si>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</si>
  <si>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</si>
  <si>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</si>
  <si>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</si>
  <si>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</si>
  <si>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</si>
  <si>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</si>
  <si>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</si>
  <si>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</si>
  <si>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</si>
  <si>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</si>
  <si>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</si>
  <si>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</si>
  <si>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</si>
  <si>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</si>
  <si>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</si>
  <si>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</si>
  <si>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</si>
  <si>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</si>
  <si>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</si>
  <si>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</si>
  <si>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</si>
  <si>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Trade Log Validation — Win Rate &amp; Profit Factor</t>
  </si>
  <si>
    <t>TradeID</t>
  </si>
  <si>
    <t>PairName</t>
  </si>
  <si>
    <t>StrategyName</t>
  </si>
  <si>
    <t>SignalType</t>
  </si>
  <si>
    <t>Direction</t>
  </si>
  <si>
    <t>EntryPrice</t>
  </si>
  <si>
    <t>ExitPrice</t>
  </si>
  <si>
    <t>PnL</t>
  </si>
  <si>
    <t>IsWin (1/0)</t>
  </si>
  <si>
    <t>Running Wins</t>
  </si>
  <si>
    <t>Running Win Rate</t>
  </si>
  <si>
    <t>USD/JPY</t>
  </si>
  <si>
    <t>MACD_Trend</t>
  </si>
  <si>
    <t>BUY</t>
  </si>
  <si>
    <t>LONG</t>
  </si>
  <si>
    <t>USD/INR</t>
  </si>
  <si>
    <t>MA_Cross</t>
  </si>
  <si>
    <t>STRONG_SELL</t>
  </si>
  <si>
    <t>SHORT</t>
  </si>
  <si>
    <t>RL_PPO</t>
  </si>
  <si>
    <t>GBP/USD</t>
  </si>
  <si>
    <t>ML_RF</t>
  </si>
  <si>
    <t>SELL</t>
  </si>
  <si>
    <t>AUD/USD</t>
  </si>
  <si>
    <t>EUR/USD</t>
  </si>
  <si>
    <t>Composite</t>
  </si>
  <si>
    <t>STRONG_BUY</t>
  </si>
  <si>
    <t>ML_XGB</t>
  </si>
  <si>
    <t>RSI_Reversal</t>
  </si>
  <si>
    <t>Total Trades (sample)</t>
  </si>
  <si>
    <t>Winning Trades (sample)</t>
  </si>
  <si>
    <t>Win Rate (sample)</t>
  </si>
  <si>
    <t>Avg Trade PnL (sample)</t>
  </si>
  <si>
    <t>Gross Profit (sample)</t>
  </si>
  <si>
    <t>Gross Loss (sample)</t>
  </si>
  <si>
    <t>Profit Factor (sample)</t>
  </si>
  <si>
    <t>Cross-Validation Summary — Excel vs Python vs Power BI (DAX)</t>
  </si>
  <si>
    <t>Metric</t>
  </si>
  <si>
    <t>Python (full dataset)</t>
  </si>
  <si>
    <t>Excel (sample, this workbook)</t>
  </si>
  <si>
    <t>Power BI / DAX</t>
  </si>
  <si>
    <t>Win Rate</t>
  </si>
  <si>
    <t>Average Trade PnL</t>
  </si>
  <si>
    <t>Profit Factor</t>
  </si>
  <si>
    <t>Sharpe Ratio</t>
  </si>
  <si>
    <t>RSI(14) — sample row (idx 40)</t>
  </si>
  <si>
    <t>Multi-Pair Trade Validation — EUR/USD, GBP/USD, USD/JPY</t>
  </si>
  <si>
    <t>EUR/USD  (33 trades)</t>
  </si>
  <si>
    <t>IsWin</t>
  </si>
  <si>
    <t>Total Trades</t>
  </si>
  <si>
    <t>Avg Trade PnL</t>
  </si>
  <si>
    <t>Gross Profit</t>
  </si>
  <si>
    <t>Gross Loss</t>
  </si>
  <si>
    <t>GBP/USD  (32 trades)</t>
  </si>
  <si>
    <t>USD/JPY  (26 trades)</t>
  </si>
  <si>
    <t>RSI(14) Manual Validation — EUR/USD</t>
  </si>
  <si>
    <t xml:space="preserve"> </t>
  </si>
  <si>
    <t xml:space="preserve">Sample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</si>
</sst>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00"/>
    <numFmt numFmtId="166" formatCode="0.0000"/>
    <numFmt numFmtId="167" formatCode="#,##0.00;\(#,##0.00\)"/>
    <numFmt numFmtId="168" formatCode="0.0%"/>
    <numFmt numFmtId="169" formatCode="0.00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10"/>
      <color rgb="FF7F6000"/>
      <name val="Arial"/>
      <charset val="1"/>
    </font>
    <font>
      <b/>
      <sz val="12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D9EAD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3" borderId="0" xfId="0" applyFont="1" applyFill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68" fontId="4" fillId="0" borderId="1" xfId="0" applyNumberFormat="1" applyFont="1" applyBorder="1"/>
    <xf numFmtId="0" fontId="4" fillId="0" borderId="0" xfId="0" applyFont="1"/>
    <xf numFmtId="0" fontId="6" fillId="0" borderId="0" xfId="0" applyFont="1"/>
    <xf numFmtId="168" fontId="6" fillId="0" borderId="0" xfId="0" applyNumberFormat="1" applyFont="1"/>
    <xf numFmtId="4" fontId="6" fillId="0" borderId="0" xfId="0" applyNumberFormat="1" applyFont="1"/>
    <xf numFmtId="169" fontId="6" fillId="0" borderId="0" xfId="0" applyNumberFormat="1" applyFont="1"/>
    <xf numFmtId="168" fontId="7" fillId="0" borderId="1" xfId="0" applyNumberFormat="1" applyFont="1" applyBorder="1"/>
    <xf numFmtId="168" fontId="0" fillId="0" borderId="1" xfId="0" applyNumberFormat="1" applyBorder="1"/>
    <xf numFmtId="4" fontId="7" fillId="0" borderId="1" xfId="0" applyNumberFormat="1" applyFont="1" applyBorder="1"/>
    <xf numFmtId="4" fontId="0" fillId="0" borderId="1" xfId="0" applyNumberFormat="1" applyBorder="1"/>
    <xf numFmtId="0" fontId="0" fillId="0" borderId="1" xfId="0" applyBorder="1"/>
    <xf numFmtId="169" fontId="7" fillId="0" borderId="1" xfId="0" applyNumberFormat="1" applyFont="1" applyBorder="1"/>
    <xf numFmtId="169" fontId="0" fillId="0" borderId="1" xfId="0" applyNumberFormat="1" applyBorder="1"/>
    <xf numFmtId="166" fontId="0" fillId="0" borderId="1" xfId="0" applyNumberFormat="1" applyBorder="1"/>
    <xf numFmtId="168" fontId="0" fillId="0" borderId="0" xfId="0" applyNumberFormat="1"/>
    <xf numFmtId="4" fontId="0" fillId="0" borderId="0" xfId="0" applyNumberFormat="1"/>
    <xf numFmtId="169" fontId="0" fillId="0" borderId="0" xfId="0" applyNumberFormat="1"/>
    <xf numFmtId="0" fontId="2" fillId="0" borderId="0" xfId="0" applyFont="1" applyAlignment="1"/>
    <xf numFmtId="0" fontId="1" fillId="0" borderId="0" xfId="0" applyFont="1" applyAlignment="1"/>
    <xf numFmtId="0" fontId="5" fillId="0" borderId="0" xfId="0" applyFont="1" applyAlignment="1"/>
    <xf numFmtId="0" fontId="8" fillId="0" borderId="1" xfId="0" applyFont="1" applyFill="1" applyBorder="1"/>
  </cellXfs>
  <cellStyles count="1">
    <cellStyle name="Normal" xfId="0" builtinId="0"/>
  </cellStyles>
  <dxfs count="5"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3F3F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F3F3F3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Normal="100" workbookViewId="0">
      <pane ySplit="4" topLeftCell="A5" activePane="bottomLeft" state="frozen"/>
      <selection pane="bottomLeft" activeCell="K40" sqref="K40"/>
    </sheetView>
  </sheetViews>
  <sheetFormatPr defaultColWidth="8.6640625" defaultRowHeight="14.4" x14ac:dyDescent="0.3"/>
  <cols>
    <col min="1" max="1" width="6" customWidth="1"/>
    <col min="2" max="2" width="20" customWidth="1"/>
    <col min="3" max="6" width="10" customWidth="1"/>
    <col min="7" max="8" width="14" customWidth="1"/>
    <col min="9" max="9" width="12" customWidth="1"/>
    <col min="10" max="10" width="16" customWidth="1"/>
    <col min="11" max="11" width="10" customWidth="1"/>
  </cols>
  <sheetData>
    <row r="1" spans="1:11" ht="17.25" customHeight="1" x14ac:dyDescent="0.3">
      <c r="A1" s="27" t="s">
        <v>119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ht="15" customHeight="1" x14ac:dyDescent="0.3">
      <c r="A2" s="26"/>
      <c r="B2" s="26"/>
      <c r="C2" s="26"/>
      <c r="D2" s="26"/>
      <c r="E2" s="26"/>
      <c r="F2" s="26"/>
      <c r="G2" s="26"/>
      <c r="H2" s="26"/>
      <c r="I2" s="26"/>
      <c r="J2" s="26"/>
    </row>
    <row r="4" spans="1:11" ht="15" customHeight="1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15" customHeight="1" x14ac:dyDescent="0.3">
      <c r="A5" s="4">
        <v>0</v>
      </c>
      <c r="B5" s="4" t="s">
        <v>11</v>
      </c>
      <c r="C5" s="5">
        <v>1.0805400000000001</v>
      </c>
      <c r="D5" s="5"/>
      <c r="E5" s="5">
        <v>0</v>
      </c>
      <c r="F5" s="5">
        <v>0</v>
      </c>
      <c r="G5" s="6">
        <f>E5</f>
        <v>0</v>
      </c>
      <c r="H5" s="6">
        <f>F5</f>
        <v>0</v>
      </c>
      <c r="I5" s="7">
        <f t="shared" ref="I5:I36" si="0">IFERROR(100-(100/(1+G5/H5)),100)</f>
        <v>100</v>
      </c>
      <c r="J5" s="4" t="s">
        <v>12</v>
      </c>
      <c r="K5" s="4" t="s">
        <v>13</v>
      </c>
    </row>
    <row r="6" spans="1:11" ht="15" customHeight="1" x14ac:dyDescent="0.3">
      <c r="A6" s="4">
        <v>1</v>
      </c>
      <c r="B6" s="4" t="s">
        <v>14</v>
      </c>
      <c r="C6" s="5">
        <v>1.0802799999999999</v>
      </c>
      <c r="D6" s="5">
        <f t="shared" ref="D6:D37" si="1">C6-C5</f>
        <v>-2.60000000000149E-4</v>
      </c>
      <c r="E6" s="5">
        <f t="shared" ref="E6:E37" si="2">IF(D6&gt;0,D6,0)</f>
        <v>0</v>
      </c>
      <c r="F6" s="5">
        <f t="shared" ref="F6:F37" si="3">IF(D6&lt;0,-D6,0)</f>
        <v>2.60000000000149E-4</v>
      </c>
      <c r="G6" s="6">
        <f t="shared" ref="G6:G37" si="4">(1/14)*E6+(13/14)*G5</f>
        <v>0</v>
      </c>
      <c r="H6" s="6">
        <f t="shared" ref="H6:H37" si="5">(1/14)*F6+(13/14)*H5</f>
        <v>1.8571428571439214E-5</v>
      </c>
      <c r="I6" s="7">
        <f t="shared" si="0"/>
        <v>0</v>
      </c>
      <c r="J6" s="4" t="s">
        <v>12</v>
      </c>
      <c r="K6" s="4" t="s">
        <v>13</v>
      </c>
    </row>
    <row r="7" spans="1:11" ht="15" customHeight="1" x14ac:dyDescent="0.3">
      <c r="A7" s="4">
        <v>2</v>
      </c>
      <c r="B7" s="4" t="s">
        <v>15</v>
      </c>
      <c r="C7" s="5">
        <v>1.0805400000000001</v>
      </c>
      <c r="D7" s="5">
        <f t="shared" si="1"/>
        <v>2.60000000000149E-4</v>
      </c>
      <c r="E7" s="5">
        <f t="shared" si="2"/>
        <v>2.60000000000149E-4</v>
      </c>
      <c r="F7" s="5">
        <f t="shared" si="3"/>
        <v>0</v>
      </c>
      <c r="G7" s="6">
        <f t="shared" si="4"/>
        <v>1.8571428571439214E-5</v>
      </c>
      <c r="H7" s="6">
        <f t="shared" si="5"/>
        <v>1.7244897959193557E-5</v>
      </c>
      <c r="I7" s="7">
        <f t="shared" si="0"/>
        <v>51.851851851851848</v>
      </c>
      <c r="J7" s="4" t="s">
        <v>12</v>
      </c>
      <c r="K7" s="4" t="s">
        <v>13</v>
      </c>
    </row>
    <row r="8" spans="1:11" ht="15" customHeight="1" x14ac:dyDescent="0.3">
      <c r="A8" s="4">
        <v>3</v>
      </c>
      <c r="B8" s="4" t="s">
        <v>16</v>
      </c>
      <c r="C8" s="5">
        <v>1.0808800000000001</v>
      </c>
      <c r="D8" s="5">
        <f t="shared" si="1"/>
        <v>3.4000000000000696E-4</v>
      </c>
      <c r="E8" s="5">
        <f t="shared" si="2"/>
        <v>3.4000000000000696E-4</v>
      </c>
      <c r="F8" s="5">
        <f t="shared" si="3"/>
        <v>0</v>
      </c>
      <c r="G8" s="6">
        <f t="shared" si="4"/>
        <v>4.153061224490834E-5</v>
      </c>
      <c r="H8" s="6">
        <f t="shared" si="5"/>
        <v>1.6013119533536875E-5</v>
      </c>
      <c r="I8" s="7">
        <f t="shared" si="0"/>
        <v>72.172260924629356</v>
      </c>
      <c r="J8" s="4" t="s">
        <v>12</v>
      </c>
      <c r="K8" s="4" t="s">
        <v>13</v>
      </c>
    </row>
    <row r="9" spans="1:11" ht="15" customHeight="1" x14ac:dyDescent="0.3">
      <c r="A9" s="4">
        <v>4</v>
      </c>
      <c r="B9" s="4" t="s">
        <v>17</v>
      </c>
      <c r="C9" s="5">
        <v>1.0803</v>
      </c>
      <c r="D9" s="5">
        <f t="shared" si="1"/>
        <v>-5.8000000000002494E-4</v>
      </c>
      <c r="E9" s="5">
        <f t="shared" si="2"/>
        <v>0</v>
      </c>
      <c r="F9" s="5">
        <f t="shared" si="3"/>
        <v>5.8000000000002494E-4</v>
      </c>
      <c r="G9" s="6">
        <f t="shared" si="4"/>
        <v>3.8564139941700601E-5</v>
      </c>
      <c r="H9" s="6">
        <f t="shared" si="5"/>
        <v>5.6297896709714586E-5</v>
      </c>
      <c r="I9" s="7">
        <f t="shared" si="0"/>
        <v>40.652869475499799</v>
      </c>
      <c r="J9" s="4" t="s">
        <v>12</v>
      </c>
      <c r="K9" s="4" t="s">
        <v>13</v>
      </c>
    </row>
    <row r="10" spans="1:11" ht="15" customHeight="1" x14ac:dyDescent="0.3">
      <c r="A10" s="4">
        <v>5</v>
      </c>
      <c r="B10" s="4" t="s">
        <v>18</v>
      </c>
      <c r="C10" s="5">
        <v>1.0799799999999999</v>
      </c>
      <c r="D10" s="5">
        <f t="shared" si="1"/>
        <v>-3.2000000000009798E-4</v>
      </c>
      <c r="E10" s="5">
        <f t="shared" si="2"/>
        <v>0</v>
      </c>
      <c r="F10" s="5">
        <f t="shared" si="3"/>
        <v>3.2000000000009798E-4</v>
      </c>
      <c r="G10" s="6">
        <f t="shared" si="4"/>
        <v>3.5809558517293418E-5</v>
      </c>
      <c r="H10" s="6">
        <f t="shared" si="5"/>
        <v>7.5133761230456261E-5</v>
      </c>
      <c r="I10" s="7">
        <f t="shared" si="0"/>
        <v>32.27734540368283</v>
      </c>
      <c r="J10" s="4" t="s">
        <v>12</v>
      </c>
      <c r="K10" s="4" t="s">
        <v>13</v>
      </c>
    </row>
    <row r="11" spans="1:11" ht="15" customHeight="1" x14ac:dyDescent="0.3">
      <c r="A11" s="4">
        <v>6</v>
      </c>
      <c r="B11" s="4" t="s">
        <v>19</v>
      </c>
      <c r="C11" s="5">
        <v>1.08087</v>
      </c>
      <c r="D11" s="5">
        <f t="shared" si="1"/>
        <v>8.9000000000005741E-4</v>
      </c>
      <c r="E11" s="5">
        <f t="shared" si="2"/>
        <v>8.9000000000005741E-4</v>
      </c>
      <c r="F11" s="5">
        <f t="shared" si="3"/>
        <v>0</v>
      </c>
      <c r="G11" s="6">
        <f t="shared" si="4"/>
        <v>9.6823161480347992E-5</v>
      </c>
      <c r="H11" s="6">
        <f t="shared" si="5"/>
        <v>6.9767063999709393E-5</v>
      </c>
      <c r="I11" s="7">
        <f t="shared" si="0"/>
        <v>58.120553712761946</v>
      </c>
      <c r="J11" s="4" t="s">
        <v>12</v>
      </c>
      <c r="K11" s="4" t="s">
        <v>13</v>
      </c>
    </row>
    <row r="12" spans="1:11" ht="15" customHeight="1" x14ac:dyDescent="0.3">
      <c r="A12" s="4">
        <v>7</v>
      </c>
      <c r="B12" s="4" t="s">
        <v>20</v>
      </c>
      <c r="C12" s="5">
        <v>1.08108</v>
      </c>
      <c r="D12" s="5">
        <f t="shared" si="1"/>
        <v>2.1000000000004349E-4</v>
      </c>
      <c r="E12" s="5">
        <f t="shared" si="2"/>
        <v>2.1000000000004349E-4</v>
      </c>
      <c r="F12" s="5">
        <f t="shared" si="3"/>
        <v>0</v>
      </c>
      <c r="G12" s="6">
        <f t="shared" si="4"/>
        <v>1.0490722137461195E-4</v>
      </c>
      <c r="H12" s="6">
        <f t="shared" si="5"/>
        <v>6.4783702285444445E-5</v>
      </c>
      <c r="I12" s="7">
        <f t="shared" si="0"/>
        <v>61.822529521245158</v>
      </c>
      <c r="J12" s="4" t="s">
        <v>12</v>
      </c>
      <c r="K12" s="4" t="s">
        <v>13</v>
      </c>
    </row>
    <row r="13" spans="1:11" ht="15" customHeight="1" x14ac:dyDescent="0.3">
      <c r="A13" s="4">
        <v>8</v>
      </c>
      <c r="B13" s="4" t="s">
        <v>21</v>
      </c>
      <c r="C13" s="5">
        <v>1.0805800000000001</v>
      </c>
      <c r="D13" s="5">
        <f t="shared" si="1"/>
        <v>-4.9999999999994493E-4</v>
      </c>
      <c r="E13" s="5">
        <f t="shared" si="2"/>
        <v>0</v>
      </c>
      <c r="F13" s="5">
        <f t="shared" si="3"/>
        <v>4.9999999999994493E-4</v>
      </c>
      <c r="G13" s="6">
        <f t="shared" si="4"/>
        <v>9.7413848419282526E-5</v>
      </c>
      <c r="H13" s="6">
        <f t="shared" si="5"/>
        <v>9.5870580693623058E-5</v>
      </c>
      <c r="I13" s="7">
        <f t="shared" si="0"/>
        <v>50.399221947867815</v>
      </c>
      <c r="J13" s="4" t="s">
        <v>12</v>
      </c>
      <c r="K13" s="4" t="s">
        <v>13</v>
      </c>
    </row>
    <row r="14" spans="1:11" ht="15" customHeight="1" x14ac:dyDescent="0.3">
      <c r="A14" s="4">
        <v>9</v>
      </c>
      <c r="B14" s="4" t="s">
        <v>22</v>
      </c>
      <c r="C14" s="5">
        <v>1.0801700000000001</v>
      </c>
      <c r="D14" s="5">
        <f t="shared" si="1"/>
        <v>-4.1000000000002146E-4</v>
      </c>
      <c r="E14" s="5">
        <f t="shared" si="2"/>
        <v>0</v>
      </c>
      <c r="F14" s="5">
        <f t="shared" si="3"/>
        <v>4.1000000000002146E-4</v>
      </c>
      <c r="G14" s="6">
        <f t="shared" si="4"/>
        <v>9.0455716389333774E-5</v>
      </c>
      <c r="H14" s="6">
        <f t="shared" si="5"/>
        <v>1.183083963583658E-4</v>
      </c>
      <c r="I14" s="7">
        <f t="shared" si="0"/>
        <v>43.329150397919875</v>
      </c>
      <c r="J14" s="4" t="s">
        <v>12</v>
      </c>
      <c r="K14" s="4" t="s">
        <v>13</v>
      </c>
    </row>
    <row r="15" spans="1:11" ht="15" customHeight="1" x14ac:dyDescent="0.3">
      <c r="A15" s="4">
        <v>10</v>
      </c>
      <c r="B15" s="4" t="s">
        <v>23</v>
      </c>
      <c r="C15" s="5">
        <v>1.0792600000000001</v>
      </c>
      <c r="D15" s="5">
        <f t="shared" si="1"/>
        <v>-9.0999999999996639E-4</v>
      </c>
      <c r="E15" s="5">
        <f t="shared" si="2"/>
        <v>0</v>
      </c>
      <c r="F15" s="5">
        <f t="shared" si="3"/>
        <v>9.0999999999996639E-4</v>
      </c>
      <c r="G15" s="6">
        <f t="shared" si="4"/>
        <v>8.3994593790095648E-5</v>
      </c>
      <c r="H15" s="6">
        <f t="shared" si="5"/>
        <v>1.7485779661848011E-4</v>
      </c>
      <c r="I15" s="7">
        <f t="shared" si="0"/>
        <v>32.44883837368377</v>
      </c>
      <c r="J15" s="4" t="s">
        <v>12</v>
      </c>
      <c r="K15" s="4" t="s">
        <v>13</v>
      </c>
    </row>
    <row r="16" spans="1:11" ht="15" customHeight="1" x14ac:dyDescent="0.3">
      <c r="A16" s="4">
        <v>11</v>
      </c>
      <c r="B16" s="4" t="s">
        <v>24</v>
      </c>
      <c r="C16" s="5">
        <v>1.0790599999999999</v>
      </c>
      <c r="D16" s="5">
        <f t="shared" si="1"/>
        <v>-2.0000000000020002E-4</v>
      </c>
      <c r="E16" s="5">
        <f t="shared" si="2"/>
        <v>0</v>
      </c>
      <c r="F16" s="5">
        <f t="shared" si="3"/>
        <v>2.0000000000020002E-4</v>
      </c>
      <c r="G16" s="6">
        <f t="shared" si="4"/>
        <v>7.7994979947945963E-5</v>
      </c>
      <c r="H16" s="6">
        <f t="shared" si="5"/>
        <v>1.7665366828860295E-4</v>
      </c>
      <c r="I16" s="7">
        <f t="shared" si="0"/>
        <v>30.628468082616592</v>
      </c>
      <c r="J16" s="4" t="s">
        <v>12</v>
      </c>
      <c r="K16" s="4" t="s">
        <v>13</v>
      </c>
    </row>
    <row r="17" spans="1:11" ht="15" customHeight="1" x14ac:dyDescent="0.3">
      <c r="A17" s="4">
        <v>12</v>
      </c>
      <c r="B17" s="4" t="s">
        <v>25</v>
      </c>
      <c r="C17" s="5">
        <v>1.07945</v>
      </c>
      <c r="D17" s="5">
        <f t="shared" si="1"/>
        <v>3.9000000000011248E-4</v>
      </c>
      <c r="E17" s="5">
        <f t="shared" si="2"/>
        <v>3.9000000000011248E-4</v>
      </c>
      <c r="F17" s="5">
        <f t="shared" si="3"/>
        <v>0</v>
      </c>
      <c r="G17" s="6">
        <f t="shared" si="4"/>
        <v>1.00281052808815E-4</v>
      </c>
      <c r="H17" s="6">
        <f t="shared" si="5"/>
        <v>1.6403554912513131E-4</v>
      </c>
      <c r="I17" s="7">
        <f t="shared" si="0"/>
        <v>37.939748042718719</v>
      </c>
      <c r="J17" s="4" t="s">
        <v>12</v>
      </c>
      <c r="K17" s="4" t="s">
        <v>13</v>
      </c>
    </row>
    <row r="18" spans="1:11" ht="15" customHeight="1" x14ac:dyDescent="0.3">
      <c r="A18" s="4">
        <v>13</v>
      </c>
      <c r="B18" s="4" t="s">
        <v>26</v>
      </c>
      <c r="C18" s="5">
        <v>1.08114</v>
      </c>
      <c r="D18" s="5">
        <f t="shared" si="1"/>
        <v>1.6899999999999693E-3</v>
      </c>
      <c r="E18" s="5">
        <f t="shared" si="2"/>
        <v>1.6899999999999693E-3</v>
      </c>
      <c r="F18" s="5">
        <f t="shared" si="3"/>
        <v>0</v>
      </c>
      <c r="G18" s="6">
        <f t="shared" si="4"/>
        <v>2.1383240617961174E-4</v>
      </c>
      <c r="H18" s="6">
        <f t="shared" si="5"/>
        <v>1.5231872418762193E-4</v>
      </c>
      <c r="I18" s="7">
        <f t="shared" si="0"/>
        <v>58.400039886575563</v>
      </c>
      <c r="J18" s="4" t="s">
        <v>12</v>
      </c>
      <c r="K18" s="4" t="s">
        <v>13</v>
      </c>
    </row>
    <row r="19" spans="1:11" ht="15" customHeight="1" x14ac:dyDescent="0.3">
      <c r="A19" s="4">
        <v>14</v>
      </c>
      <c r="B19" s="4" t="s">
        <v>27</v>
      </c>
      <c r="C19" s="5">
        <v>1.0809</v>
      </c>
      <c r="D19" s="5">
        <f t="shared" si="1"/>
        <v>-2.4000000000001798E-4</v>
      </c>
      <c r="E19" s="5">
        <f t="shared" si="2"/>
        <v>0</v>
      </c>
      <c r="F19" s="5">
        <f t="shared" si="3"/>
        <v>2.4000000000001798E-4</v>
      </c>
      <c r="G19" s="6">
        <f t="shared" si="4"/>
        <v>1.9855866288106804E-4</v>
      </c>
      <c r="H19" s="6">
        <f t="shared" si="5"/>
        <v>1.5858167245993594E-4</v>
      </c>
      <c r="I19" s="7">
        <f t="shared" si="0"/>
        <v>55.596818178344563</v>
      </c>
      <c r="J19" s="4" t="s">
        <v>12</v>
      </c>
      <c r="K19" s="4" t="s">
        <v>13</v>
      </c>
    </row>
    <row r="20" spans="1:11" ht="15" customHeight="1" x14ac:dyDescent="0.3">
      <c r="A20" s="4">
        <v>15</v>
      </c>
      <c r="B20" s="4" t="s">
        <v>28</v>
      </c>
      <c r="C20" s="5">
        <v>1.08036</v>
      </c>
      <c r="D20" s="5">
        <f t="shared" si="1"/>
        <v>-5.3999999999998494E-4</v>
      </c>
      <c r="E20" s="5">
        <f t="shared" si="2"/>
        <v>0</v>
      </c>
      <c r="F20" s="5">
        <f t="shared" si="3"/>
        <v>5.3999999999998494E-4</v>
      </c>
      <c r="G20" s="6">
        <f t="shared" si="4"/>
        <v>1.8437590124670603E-4</v>
      </c>
      <c r="H20" s="6">
        <f t="shared" si="5"/>
        <v>1.8582583871279659E-4</v>
      </c>
      <c r="I20" s="7">
        <f t="shared" si="0"/>
        <v>49.804169279937859</v>
      </c>
      <c r="J20" s="4" t="s">
        <v>12</v>
      </c>
      <c r="K20" s="4" t="s">
        <v>13</v>
      </c>
    </row>
    <row r="21" spans="1:11" ht="15" customHeight="1" x14ac:dyDescent="0.3">
      <c r="A21" s="4">
        <v>16</v>
      </c>
      <c r="B21" s="4" t="s">
        <v>29</v>
      </c>
      <c r="C21" s="5">
        <v>1.08047</v>
      </c>
      <c r="D21" s="5">
        <f t="shared" si="1"/>
        <v>1.100000000000545E-4</v>
      </c>
      <c r="E21" s="5">
        <f t="shared" si="2"/>
        <v>1.100000000000545E-4</v>
      </c>
      <c r="F21" s="5">
        <f t="shared" si="3"/>
        <v>0</v>
      </c>
      <c r="G21" s="6">
        <f t="shared" si="4"/>
        <v>1.7906333687194522E-4</v>
      </c>
      <c r="H21" s="6">
        <f t="shared" si="5"/>
        <v>1.7255256451902541E-4</v>
      </c>
      <c r="I21" s="7">
        <f t="shared" si="0"/>
        <v>50.925835880454152</v>
      </c>
      <c r="J21" s="4" t="s">
        <v>12</v>
      </c>
      <c r="K21" s="4" t="s">
        <v>13</v>
      </c>
    </row>
    <row r="22" spans="1:11" ht="15" customHeight="1" x14ac:dyDescent="0.3">
      <c r="A22" s="4">
        <v>17</v>
      </c>
      <c r="B22" s="4" t="s">
        <v>30</v>
      </c>
      <c r="C22" s="5">
        <v>1.0788800000000001</v>
      </c>
      <c r="D22" s="5">
        <f t="shared" si="1"/>
        <v>-1.5899999999999803E-3</v>
      </c>
      <c r="E22" s="5">
        <f t="shared" si="2"/>
        <v>0</v>
      </c>
      <c r="F22" s="5">
        <f t="shared" si="3"/>
        <v>1.5899999999999803E-3</v>
      </c>
      <c r="G22" s="6">
        <f t="shared" si="4"/>
        <v>1.6627309852394913E-4</v>
      </c>
      <c r="H22" s="6">
        <f t="shared" si="5"/>
        <v>2.7379880991052218E-4</v>
      </c>
      <c r="I22" s="7">
        <f t="shared" si="0"/>
        <v>37.783165736585062</v>
      </c>
      <c r="J22" s="4" t="s">
        <v>12</v>
      </c>
      <c r="K22" s="4" t="s">
        <v>13</v>
      </c>
    </row>
    <row r="23" spans="1:11" ht="15" customHeight="1" x14ac:dyDescent="0.3">
      <c r="A23" s="4">
        <v>18</v>
      </c>
      <c r="B23" s="4" t="s">
        <v>31</v>
      </c>
      <c r="C23" s="5">
        <v>1.0787100000000001</v>
      </c>
      <c r="D23" s="5">
        <f t="shared" si="1"/>
        <v>-1.7000000000000348E-4</v>
      </c>
      <c r="E23" s="5">
        <f t="shared" si="2"/>
        <v>0</v>
      </c>
      <c r="F23" s="5">
        <f t="shared" si="3"/>
        <v>1.7000000000000348E-4</v>
      </c>
      <c r="G23" s="6">
        <f t="shared" si="4"/>
        <v>1.5439644862938134E-4</v>
      </c>
      <c r="H23" s="6">
        <f t="shared" si="5"/>
        <v>2.66384609202628E-4</v>
      </c>
      <c r="I23" s="7">
        <f t="shared" si="0"/>
        <v>36.692822967097975</v>
      </c>
      <c r="J23" s="4" t="s">
        <v>12</v>
      </c>
      <c r="K23" s="4" t="s">
        <v>13</v>
      </c>
    </row>
    <row r="24" spans="1:11" ht="15" customHeight="1" x14ac:dyDescent="0.3">
      <c r="A24" s="4">
        <v>19</v>
      </c>
      <c r="B24" s="4" t="s">
        <v>32</v>
      </c>
      <c r="C24" s="5">
        <v>1.07863</v>
      </c>
      <c r="D24" s="5">
        <f t="shared" si="1"/>
        <v>-8.0000000000080007E-5</v>
      </c>
      <c r="E24" s="5">
        <f t="shared" si="2"/>
        <v>0</v>
      </c>
      <c r="F24" s="5">
        <f t="shared" si="3"/>
        <v>8.0000000000080007E-5</v>
      </c>
      <c r="G24" s="6">
        <f t="shared" si="4"/>
        <v>1.4336813087013981E-4</v>
      </c>
      <c r="H24" s="6">
        <f t="shared" si="5"/>
        <v>2.5307142283101749E-4</v>
      </c>
      <c r="I24" s="7">
        <f t="shared" si="0"/>
        <v>36.163932062695501</v>
      </c>
      <c r="J24" s="4" t="s">
        <v>12</v>
      </c>
      <c r="K24" s="4" t="s">
        <v>13</v>
      </c>
    </row>
    <row r="25" spans="1:11" ht="15" customHeight="1" x14ac:dyDescent="0.3">
      <c r="A25" s="4">
        <v>20</v>
      </c>
      <c r="B25" s="4" t="s">
        <v>33</v>
      </c>
      <c r="C25" s="5">
        <v>1.0786899999999999</v>
      </c>
      <c r="D25" s="5">
        <f t="shared" si="1"/>
        <v>5.9999999999948983E-5</v>
      </c>
      <c r="E25" s="5">
        <f t="shared" si="2"/>
        <v>5.9999999999948983E-5</v>
      </c>
      <c r="F25" s="5">
        <f t="shared" si="3"/>
        <v>0</v>
      </c>
      <c r="G25" s="6">
        <f t="shared" si="4"/>
        <v>1.3741326437941188E-4</v>
      </c>
      <c r="H25" s="6">
        <f t="shared" si="5"/>
        <v>2.3499489262880196E-4</v>
      </c>
      <c r="I25" s="7">
        <f t="shared" si="0"/>
        <v>36.89856459733268</v>
      </c>
      <c r="J25" s="4" t="s">
        <v>12</v>
      </c>
      <c r="K25" s="4" t="s">
        <v>13</v>
      </c>
    </row>
    <row r="26" spans="1:11" ht="15" customHeight="1" x14ac:dyDescent="0.3">
      <c r="A26" s="4">
        <v>21</v>
      </c>
      <c r="B26" s="4" t="s">
        <v>34</v>
      </c>
      <c r="C26" s="5">
        <v>1.0774300000000001</v>
      </c>
      <c r="D26" s="5">
        <f t="shared" si="1"/>
        <v>-1.2599999999998168E-3</v>
      </c>
      <c r="E26" s="5">
        <f t="shared" si="2"/>
        <v>0</v>
      </c>
      <c r="F26" s="5">
        <f t="shared" si="3"/>
        <v>1.2599999999998168E-3</v>
      </c>
      <c r="G26" s="6">
        <f t="shared" si="4"/>
        <v>1.2759803120945389E-4</v>
      </c>
      <c r="H26" s="6">
        <f t="shared" si="5"/>
        <v>3.08209543155303E-4</v>
      </c>
      <c r="I26" s="7">
        <f t="shared" si="0"/>
        <v>29.278525366486278</v>
      </c>
      <c r="J26" s="4" t="s">
        <v>12</v>
      </c>
      <c r="K26" s="4" t="s">
        <v>13</v>
      </c>
    </row>
    <row r="27" spans="1:11" ht="15" customHeight="1" x14ac:dyDescent="0.3">
      <c r="A27" s="4">
        <v>22</v>
      </c>
      <c r="B27" s="4" t="s">
        <v>35</v>
      </c>
      <c r="C27" s="5">
        <v>1.0789500000000001</v>
      </c>
      <c r="D27" s="5">
        <f t="shared" si="1"/>
        <v>1.5199999999999658E-3</v>
      </c>
      <c r="E27" s="5">
        <f t="shared" si="2"/>
        <v>1.5199999999999658E-3</v>
      </c>
      <c r="F27" s="5">
        <f t="shared" si="3"/>
        <v>0</v>
      </c>
      <c r="G27" s="6">
        <f t="shared" si="4"/>
        <v>2.2705531469449045E-4</v>
      </c>
      <c r="H27" s="6">
        <f t="shared" si="5"/>
        <v>2.8619457578706709E-4</v>
      </c>
      <c r="I27" s="7">
        <f t="shared" si="0"/>
        <v>44.238745863434175</v>
      </c>
      <c r="J27" s="4" t="s">
        <v>12</v>
      </c>
      <c r="K27" s="4" t="s">
        <v>13</v>
      </c>
    </row>
    <row r="28" spans="1:11" ht="15" customHeight="1" x14ac:dyDescent="0.3">
      <c r="A28" s="4">
        <v>23</v>
      </c>
      <c r="B28" s="4" t="s">
        <v>36</v>
      </c>
      <c r="C28" s="5">
        <v>1.07833</v>
      </c>
      <c r="D28" s="5">
        <f t="shared" si="1"/>
        <v>-6.2000000000006494E-4</v>
      </c>
      <c r="E28" s="5">
        <f t="shared" si="2"/>
        <v>0</v>
      </c>
      <c r="F28" s="5">
        <f t="shared" si="3"/>
        <v>6.2000000000006494E-4</v>
      </c>
      <c r="G28" s="6">
        <f t="shared" si="4"/>
        <v>2.108370779305983E-4</v>
      </c>
      <c r="H28" s="6">
        <f t="shared" si="5"/>
        <v>3.1003782037370981E-4</v>
      </c>
      <c r="I28" s="7">
        <f t="shared" si="0"/>
        <v>40.47748866704304</v>
      </c>
      <c r="J28" s="4" t="s">
        <v>12</v>
      </c>
      <c r="K28" s="4" t="s">
        <v>13</v>
      </c>
    </row>
    <row r="29" spans="1:11" ht="15" customHeight="1" x14ac:dyDescent="0.3">
      <c r="A29" s="4">
        <v>24</v>
      </c>
      <c r="B29" s="4" t="s">
        <v>37</v>
      </c>
      <c r="C29" s="5">
        <v>1.0771900000000001</v>
      </c>
      <c r="D29" s="5">
        <f t="shared" si="1"/>
        <v>-1.1399999999999189E-3</v>
      </c>
      <c r="E29" s="5">
        <f t="shared" si="2"/>
        <v>0</v>
      </c>
      <c r="F29" s="5">
        <f t="shared" si="3"/>
        <v>1.1399999999999189E-3</v>
      </c>
      <c r="G29" s="6">
        <f t="shared" si="4"/>
        <v>1.9577728664984129E-4</v>
      </c>
      <c r="H29" s="6">
        <f t="shared" si="5"/>
        <v>3.6932083320415332E-4</v>
      </c>
      <c r="I29" s="7">
        <f t="shared" si="0"/>
        <v>34.644830653555275</v>
      </c>
      <c r="J29" s="4" t="s">
        <v>12</v>
      </c>
      <c r="K29" s="4" t="s">
        <v>13</v>
      </c>
    </row>
    <row r="30" spans="1:11" ht="15" customHeight="1" x14ac:dyDescent="0.3">
      <c r="A30" s="4">
        <v>25</v>
      </c>
      <c r="B30" s="4" t="s">
        <v>38</v>
      </c>
      <c r="C30" s="5">
        <v>1.07684</v>
      </c>
      <c r="D30" s="5">
        <f t="shared" si="1"/>
        <v>-3.5000000000007248E-4</v>
      </c>
      <c r="E30" s="5">
        <f t="shared" si="2"/>
        <v>0</v>
      </c>
      <c r="F30" s="5">
        <f t="shared" si="3"/>
        <v>3.5000000000007248E-4</v>
      </c>
      <c r="G30" s="6">
        <f t="shared" si="4"/>
        <v>1.8179319474628122E-4</v>
      </c>
      <c r="H30" s="6">
        <f t="shared" si="5"/>
        <v>3.6794077368957609E-4</v>
      </c>
      <c r="I30" s="7">
        <f t="shared" si="0"/>
        <v>33.069303551230846</v>
      </c>
      <c r="J30" s="4" t="s">
        <v>12</v>
      </c>
      <c r="K30" s="4" t="s">
        <v>13</v>
      </c>
    </row>
    <row r="31" spans="1:11" ht="15" customHeight="1" x14ac:dyDescent="0.3">
      <c r="A31" s="4">
        <v>26</v>
      </c>
      <c r="B31" s="4" t="s">
        <v>39</v>
      </c>
      <c r="C31" s="5">
        <v>1.07511</v>
      </c>
      <c r="D31" s="5">
        <f t="shared" si="1"/>
        <v>-1.7300000000000093E-3</v>
      </c>
      <c r="E31" s="5">
        <f t="shared" si="2"/>
        <v>0</v>
      </c>
      <c r="F31" s="5">
        <f t="shared" si="3"/>
        <v>1.7300000000000093E-3</v>
      </c>
      <c r="G31" s="6">
        <f t="shared" si="4"/>
        <v>1.6880796655011827E-4</v>
      </c>
      <c r="H31" s="6">
        <f t="shared" si="5"/>
        <v>4.6523071842603564E-4</v>
      </c>
      <c r="I31" s="7">
        <f t="shared" si="0"/>
        <v>26.624237692447281</v>
      </c>
      <c r="J31" s="4" t="s">
        <v>12</v>
      </c>
      <c r="K31" s="4" t="s">
        <v>13</v>
      </c>
    </row>
    <row r="32" spans="1:11" ht="15" customHeight="1" x14ac:dyDescent="0.3">
      <c r="A32" s="4">
        <v>27</v>
      </c>
      <c r="B32" s="4" t="s">
        <v>40</v>
      </c>
      <c r="C32" s="5">
        <v>1.07369</v>
      </c>
      <c r="D32" s="5">
        <f t="shared" si="1"/>
        <v>-1.4199999999999768E-3</v>
      </c>
      <c r="E32" s="5">
        <f t="shared" si="2"/>
        <v>0</v>
      </c>
      <c r="F32" s="5">
        <f t="shared" si="3"/>
        <v>1.4199999999999768E-3</v>
      </c>
      <c r="G32" s="6">
        <f t="shared" si="4"/>
        <v>1.5675025465368127E-4</v>
      </c>
      <c r="H32" s="6">
        <f t="shared" si="5"/>
        <v>5.3342852425274578E-4</v>
      </c>
      <c r="I32" s="7">
        <f t="shared" si="0"/>
        <v>22.711543652797971</v>
      </c>
      <c r="J32" s="4" t="s">
        <v>12</v>
      </c>
      <c r="K32" s="4" t="s">
        <v>13</v>
      </c>
    </row>
    <row r="33" spans="1:11" ht="15" customHeight="1" x14ac:dyDescent="0.3">
      <c r="A33" s="4">
        <v>28</v>
      </c>
      <c r="B33" s="4" t="s">
        <v>41</v>
      </c>
      <c r="C33" s="5">
        <v>1.0740099999999999</v>
      </c>
      <c r="D33" s="5">
        <f t="shared" si="1"/>
        <v>3.1999999999987594E-4</v>
      </c>
      <c r="E33" s="5">
        <f t="shared" si="2"/>
        <v>3.1999999999987594E-4</v>
      </c>
      <c r="F33" s="5">
        <f t="shared" si="3"/>
        <v>0</v>
      </c>
      <c r="G33" s="6">
        <f t="shared" si="4"/>
        <v>1.6841095074983804E-4</v>
      </c>
      <c r="H33" s="6">
        <f t="shared" si="5"/>
        <v>4.9532648680612106E-4</v>
      </c>
      <c r="I33" s="7">
        <f t="shared" si="0"/>
        <v>25.373128170977921</v>
      </c>
      <c r="J33" s="4" t="s">
        <v>12</v>
      </c>
      <c r="K33" s="4" t="s">
        <v>13</v>
      </c>
    </row>
    <row r="34" spans="1:11" ht="15" customHeight="1" x14ac:dyDescent="0.3">
      <c r="A34" s="4">
        <v>29</v>
      </c>
      <c r="B34" s="4" t="s">
        <v>42</v>
      </c>
      <c r="C34" s="5">
        <v>1.0747100000000001</v>
      </c>
      <c r="D34" s="5">
        <f t="shared" si="1"/>
        <v>7.0000000000014495E-4</v>
      </c>
      <c r="E34" s="5">
        <f t="shared" si="2"/>
        <v>7.0000000000014495E-4</v>
      </c>
      <c r="F34" s="5">
        <f t="shared" si="3"/>
        <v>0</v>
      </c>
      <c r="G34" s="6">
        <f t="shared" si="4"/>
        <v>2.0638159712485995E-4</v>
      </c>
      <c r="H34" s="6">
        <f t="shared" si="5"/>
        <v>4.5994602346282671E-4</v>
      </c>
      <c r="I34" s="7">
        <f t="shared" si="0"/>
        <v>30.972991475700169</v>
      </c>
      <c r="J34" s="4" t="s">
        <v>12</v>
      </c>
      <c r="K34" s="4" t="s">
        <v>13</v>
      </c>
    </row>
    <row r="35" spans="1:11" ht="15" customHeight="1" x14ac:dyDescent="0.3">
      <c r="A35" s="4">
        <v>30</v>
      </c>
      <c r="B35" s="4" t="s">
        <v>43</v>
      </c>
      <c r="C35" s="5">
        <v>1.07559</v>
      </c>
      <c r="D35" s="5">
        <f t="shared" si="1"/>
        <v>8.799999999999919E-4</v>
      </c>
      <c r="E35" s="5">
        <f t="shared" si="2"/>
        <v>8.799999999999919E-4</v>
      </c>
      <c r="F35" s="5">
        <f t="shared" si="3"/>
        <v>0</v>
      </c>
      <c r="G35" s="6">
        <f t="shared" si="4"/>
        <v>2.544971973302265E-4</v>
      </c>
      <c r="H35" s="6">
        <f t="shared" si="5"/>
        <v>4.2709273607262479E-4</v>
      </c>
      <c r="I35" s="7">
        <f t="shared" si="0"/>
        <v>37.33875529229784</v>
      </c>
      <c r="J35" s="4" t="s">
        <v>12</v>
      </c>
      <c r="K35" s="4" t="s">
        <v>13</v>
      </c>
    </row>
    <row r="36" spans="1:11" ht="15" customHeight="1" x14ac:dyDescent="0.3">
      <c r="A36" s="4">
        <v>31</v>
      </c>
      <c r="B36" s="4" t="s">
        <v>44</v>
      </c>
      <c r="C36" s="5">
        <v>1.0747199999999999</v>
      </c>
      <c r="D36" s="5">
        <f t="shared" si="1"/>
        <v>-8.7000000000014843E-4</v>
      </c>
      <c r="E36" s="5">
        <f t="shared" si="2"/>
        <v>0</v>
      </c>
      <c r="F36" s="5">
        <f t="shared" si="3"/>
        <v>8.7000000000014843E-4</v>
      </c>
      <c r="G36" s="6">
        <f t="shared" si="4"/>
        <v>2.363188260923532E-4</v>
      </c>
      <c r="H36" s="6">
        <f t="shared" si="5"/>
        <v>4.5872896921030505E-4</v>
      </c>
      <c r="I36" s="7">
        <f t="shared" si="0"/>
        <v>34.000370577313788</v>
      </c>
      <c r="J36" s="4" t="s">
        <v>12</v>
      </c>
      <c r="K36" s="4" t="s">
        <v>13</v>
      </c>
    </row>
    <row r="37" spans="1:11" ht="15" customHeight="1" x14ac:dyDescent="0.3">
      <c r="A37" s="4">
        <v>32</v>
      </c>
      <c r="B37" s="4" t="s">
        <v>45</v>
      </c>
      <c r="C37" s="5">
        <v>1.07443</v>
      </c>
      <c r="D37" s="5">
        <f t="shared" si="1"/>
        <v>-2.8999999999990145E-4</v>
      </c>
      <c r="E37" s="5">
        <f t="shared" si="2"/>
        <v>0</v>
      </c>
      <c r="F37" s="5">
        <f t="shared" si="3"/>
        <v>2.8999999999990145E-4</v>
      </c>
      <c r="G37" s="6">
        <f t="shared" si="4"/>
        <v>2.194389099428994E-4</v>
      </c>
      <c r="H37" s="6">
        <f t="shared" si="5"/>
        <v>4.4667689998099052E-4</v>
      </c>
      <c r="I37" s="7">
        <f t="shared" ref="I37:I68" si="6">IFERROR(100-(100/(1+G37/H37)),100)</f>
        <v>32.943056848924272</v>
      </c>
      <c r="J37" s="4" t="s">
        <v>12</v>
      </c>
      <c r="K37" s="4" t="s">
        <v>13</v>
      </c>
    </row>
    <row r="38" spans="1:11" ht="15" customHeight="1" x14ac:dyDescent="0.3">
      <c r="A38" s="4">
        <v>33</v>
      </c>
      <c r="B38" s="4" t="s">
        <v>46</v>
      </c>
      <c r="C38" s="5">
        <v>1.0749500000000001</v>
      </c>
      <c r="D38" s="5">
        <f t="shared" ref="D38:D69" si="7">C38-C37</f>
        <v>5.2000000000007596E-4</v>
      </c>
      <c r="E38" s="5">
        <f t="shared" ref="E38:E69" si="8">IF(D38&gt;0,D38,0)</f>
        <v>5.2000000000007596E-4</v>
      </c>
      <c r="F38" s="5">
        <f t="shared" ref="F38:F54" si="9">IF(D38&lt;0,-D38,0)</f>
        <v>0</v>
      </c>
      <c r="G38" s="6">
        <f t="shared" ref="G38:G54" si="10">(1/14)*E38+(13/14)*G37</f>
        <v>2.4090755923269772E-4</v>
      </c>
      <c r="H38" s="6">
        <f t="shared" ref="H38:H54" si="11">(1/14)*F38+(13/14)*H37</f>
        <v>4.1477140712520549E-4</v>
      </c>
      <c r="I38" s="7">
        <f t="shared" si="6"/>
        <v>36.74169396814203</v>
      </c>
      <c r="J38" s="4">
        <v>36.741693968142002</v>
      </c>
      <c r="K38" s="4" t="str">
        <f t="shared" ref="K38:K54" si="12">IF(ABS(I38-J38)&lt;0.1,"OK","CHECK")</f>
        <v>OK</v>
      </c>
    </row>
    <row r="39" spans="1:11" ht="15" customHeight="1" x14ac:dyDescent="0.3">
      <c r="A39" s="4">
        <v>34</v>
      </c>
      <c r="B39" s="4" t="s">
        <v>47</v>
      </c>
      <c r="C39" s="5">
        <v>1.07447</v>
      </c>
      <c r="D39" s="5">
        <f t="shared" si="7"/>
        <v>-4.8000000000003595E-4</v>
      </c>
      <c r="E39" s="5">
        <f t="shared" si="8"/>
        <v>0</v>
      </c>
      <c r="F39" s="5">
        <f t="shared" si="9"/>
        <v>4.8000000000003595E-4</v>
      </c>
      <c r="G39" s="6">
        <f t="shared" si="10"/>
        <v>2.2369987643036218E-4</v>
      </c>
      <c r="H39" s="6">
        <f t="shared" si="11"/>
        <v>4.1943059233055054E-4</v>
      </c>
      <c r="I39" s="7">
        <f t="shared" si="6"/>
        <v>34.78296975438802</v>
      </c>
      <c r="J39" s="4">
        <v>34.782969754387999</v>
      </c>
      <c r="K39" s="4" t="str">
        <f t="shared" si="12"/>
        <v>OK</v>
      </c>
    </row>
    <row r="40" spans="1:11" ht="15" customHeight="1" x14ac:dyDescent="0.3">
      <c r="A40" s="4">
        <v>35</v>
      </c>
      <c r="B40" s="4" t="s">
        <v>48</v>
      </c>
      <c r="C40" s="5">
        <v>1.0748899999999999</v>
      </c>
      <c r="D40" s="5">
        <f t="shared" si="7"/>
        <v>4.1999999999986493E-4</v>
      </c>
      <c r="E40" s="5">
        <f t="shared" si="8"/>
        <v>4.1999999999986493E-4</v>
      </c>
      <c r="F40" s="5">
        <f t="shared" si="9"/>
        <v>0</v>
      </c>
      <c r="G40" s="6">
        <f t="shared" si="10"/>
        <v>2.377213138281838E-4</v>
      </c>
      <c r="H40" s="6">
        <f t="shared" si="11"/>
        <v>3.8947126430693979E-4</v>
      </c>
      <c r="I40" s="7">
        <f t="shared" si="6"/>
        <v>37.902443701584851</v>
      </c>
      <c r="J40" s="4">
        <v>37.9024437015849</v>
      </c>
      <c r="K40" s="4" t="str">
        <f t="shared" si="12"/>
        <v>OK</v>
      </c>
    </row>
    <row r="41" spans="1:11" ht="15" customHeight="1" x14ac:dyDescent="0.3">
      <c r="A41" s="4">
        <v>36</v>
      </c>
      <c r="B41" s="4" t="s">
        <v>49</v>
      </c>
      <c r="C41" s="5">
        <v>1.07605</v>
      </c>
      <c r="D41" s="5">
        <f t="shared" si="7"/>
        <v>1.1600000000000499E-3</v>
      </c>
      <c r="E41" s="5">
        <f t="shared" si="8"/>
        <v>1.1600000000000499E-3</v>
      </c>
      <c r="F41" s="5">
        <f t="shared" si="9"/>
        <v>0</v>
      </c>
      <c r="G41" s="6">
        <f t="shared" si="10"/>
        <v>3.0359836284045996E-4</v>
      </c>
      <c r="H41" s="6">
        <f t="shared" si="11"/>
        <v>3.6165188828501553E-4</v>
      </c>
      <c r="I41" s="7">
        <f t="shared" si="6"/>
        <v>45.636715255173513</v>
      </c>
      <c r="J41" s="4">
        <v>45.636715255173499</v>
      </c>
      <c r="K41" s="4" t="str">
        <f t="shared" si="12"/>
        <v>OK</v>
      </c>
    </row>
    <row r="42" spans="1:11" ht="15" customHeight="1" x14ac:dyDescent="0.3">
      <c r="A42" s="4">
        <v>37</v>
      </c>
      <c r="B42" s="4" t="s">
        <v>50</v>
      </c>
      <c r="C42" s="5">
        <v>1.0766</v>
      </c>
      <c r="D42" s="5">
        <f t="shared" si="7"/>
        <v>5.5000000000005045E-4</v>
      </c>
      <c r="E42" s="5">
        <f t="shared" si="8"/>
        <v>5.5000000000005045E-4</v>
      </c>
      <c r="F42" s="5">
        <f t="shared" si="9"/>
        <v>0</v>
      </c>
      <c r="G42" s="6">
        <f t="shared" si="10"/>
        <v>3.2119847978043074E-4</v>
      </c>
      <c r="H42" s="6">
        <f t="shared" si="11"/>
        <v>3.3581961055037155E-4</v>
      </c>
      <c r="I42" s="7">
        <f t="shared" si="6"/>
        <v>48.887311400925107</v>
      </c>
      <c r="J42" s="4">
        <v>48.8873114009251</v>
      </c>
      <c r="K42" s="4" t="str">
        <f t="shared" si="12"/>
        <v>OK</v>
      </c>
    </row>
    <row r="43" spans="1:11" ht="15" customHeight="1" x14ac:dyDescent="0.3">
      <c r="A43" s="4">
        <v>38</v>
      </c>
      <c r="B43" s="4" t="s">
        <v>51</v>
      </c>
      <c r="C43" s="5">
        <v>1.0776300000000001</v>
      </c>
      <c r="D43" s="5">
        <f t="shared" si="7"/>
        <v>1.0300000000000864E-3</v>
      </c>
      <c r="E43" s="5">
        <f t="shared" si="8"/>
        <v>1.0300000000000864E-3</v>
      </c>
      <c r="F43" s="5">
        <f t="shared" si="9"/>
        <v>0</v>
      </c>
      <c r="G43" s="6">
        <f t="shared" si="10"/>
        <v>3.7182715979612043E-4</v>
      </c>
      <c r="H43" s="6">
        <f t="shared" si="11"/>
        <v>3.1183249551105933E-4</v>
      </c>
      <c r="I43" s="7">
        <f t="shared" si="6"/>
        <v>54.387758135157505</v>
      </c>
      <c r="J43" s="4">
        <v>54.387758135157497</v>
      </c>
      <c r="K43" s="4" t="str">
        <f t="shared" si="12"/>
        <v>OK</v>
      </c>
    </row>
    <row r="44" spans="1:11" ht="15" customHeight="1" x14ac:dyDescent="0.3">
      <c r="A44" s="4">
        <v>39</v>
      </c>
      <c r="B44" s="4" t="s">
        <v>52</v>
      </c>
      <c r="C44" s="5">
        <v>1.0773699999999999</v>
      </c>
      <c r="D44" s="5">
        <f t="shared" si="7"/>
        <v>-2.60000000000149E-4</v>
      </c>
      <c r="E44" s="5">
        <f t="shared" si="8"/>
        <v>0</v>
      </c>
      <c r="F44" s="5">
        <f t="shared" si="9"/>
        <v>2.60000000000149E-4</v>
      </c>
      <c r="G44" s="6">
        <f t="shared" si="10"/>
        <v>3.4526807695354041E-4</v>
      </c>
      <c r="H44" s="6">
        <f t="shared" si="11"/>
        <v>3.0813017440313722E-4</v>
      </c>
      <c r="I44" s="7">
        <f t="shared" si="6"/>
        <v>52.84190403580758</v>
      </c>
      <c r="J44" s="4">
        <v>52.841904035807602</v>
      </c>
      <c r="K44" s="4" t="str">
        <f t="shared" si="12"/>
        <v>OK</v>
      </c>
    </row>
    <row r="45" spans="1:11" ht="15" customHeight="1" x14ac:dyDescent="0.3">
      <c r="A45" s="4">
        <v>40</v>
      </c>
      <c r="B45" s="4" t="s">
        <v>53</v>
      </c>
      <c r="C45" s="5">
        <v>1.07687</v>
      </c>
      <c r="D45" s="5">
        <f t="shared" si="7"/>
        <v>-4.9999999999994493E-4</v>
      </c>
      <c r="E45" s="5">
        <f t="shared" si="8"/>
        <v>0</v>
      </c>
      <c r="F45" s="5">
        <f t="shared" si="9"/>
        <v>4.9999999999994493E-4</v>
      </c>
      <c r="G45" s="6">
        <f t="shared" si="10"/>
        <v>3.2060607145685896E-4</v>
      </c>
      <c r="H45" s="6">
        <f t="shared" si="11"/>
        <v>3.2183516194576634E-4</v>
      </c>
      <c r="I45" s="7">
        <f t="shared" si="6"/>
        <v>49.9043421853235</v>
      </c>
      <c r="J45" s="4">
        <v>49.9043421853235</v>
      </c>
      <c r="K45" s="4" t="str">
        <f t="shared" si="12"/>
        <v>OK</v>
      </c>
    </row>
    <row r="46" spans="1:11" ht="15" customHeight="1" x14ac:dyDescent="0.3">
      <c r="A46" s="4">
        <v>41</v>
      </c>
      <c r="B46" s="4" t="s">
        <v>54</v>
      </c>
      <c r="C46" s="5">
        <v>1.0775999999999999</v>
      </c>
      <c r="D46" s="5">
        <f t="shared" si="7"/>
        <v>7.299999999998974E-4</v>
      </c>
      <c r="E46" s="5">
        <f t="shared" si="8"/>
        <v>7.299999999998974E-4</v>
      </c>
      <c r="F46" s="5">
        <f t="shared" si="9"/>
        <v>0</v>
      </c>
      <c r="G46" s="6">
        <f t="shared" si="10"/>
        <v>3.4984849492421884E-4</v>
      </c>
      <c r="H46" s="6">
        <f t="shared" si="11"/>
        <v>2.9884693609249732E-4</v>
      </c>
      <c r="I46" s="7">
        <f t="shared" si="6"/>
        <v>53.931086638901213</v>
      </c>
      <c r="J46" s="4">
        <v>53.931086638901199</v>
      </c>
      <c r="K46" s="4" t="str">
        <f t="shared" si="12"/>
        <v>OK</v>
      </c>
    </row>
    <row r="47" spans="1:11" ht="15" customHeight="1" x14ac:dyDescent="0.3">
      <c r="A47" s="4">
        <v>42</v>
      </c>
      <c r="B47" s="4" t="s">
        <v>55</v>
      </c>
      <c r="C47" s="5">
        <v>1.07542</v>
      </c>
      <c r="D47" s="5">
        <f t="shared" si="7"/>
        <v>-2.1799999999998487E-3</v>
      </c>
      <c r="E47" s="5">
        <f t="shared" si="8"/>
        <v>0</v>
      </c>
      <c r="F47" s="5">
        <f t="shared" si="9"/>
        <v>2.1799999999998487E-3</v>
      </c>
      <c r="G47" s="6">
        <f t="shared" si="10"/>
        <v>3.2485931671534605E-4</v>
      </c>
      <c r="H47" s="6">
        <f t="shared" si="11"/>
        <v>4.3321501208587953E-4</v>
      </c>
      <c r="I47" s="7">
        <f t="shared" si="6"/>
        <v>42.853227496709927</v>
      </c>
      <c r="J47" s="4">
        <v>42.853227496709899</v>
      </c>
      <c r="K47" s="4" t="str">
        <f t="shared" si="12"/>
        <v>OK</v>
      </c>
    </row>
    <row r="48" spans="1:11" ht="15" customHeight="1" x14ac:dyDescent="0.3">
      <c r="A48" s="4">
        <v>43</v>
      </c>
      <c r="B48" s="4" t="s">
        <v>56</v>
      </c>
      <c r="C48" s="5">
        <v>1.0752900000000001</v>
      </c>
      <c r="D48" s="5">
        <f t="shared" si="7"/>
        <v>-1.2999999999996348E-4</v>
      </c>
      <c r="E48" s="5">
        <f t="shared" si="8"/>
        <v>0</v>
      </c>
      <c r="F48" s="5">
        <f t="shared" si="9"/>
        <v>1.2999999999996348E-4</v>
      </c>
      <c r="G48" s="6">
        <f t="shared" si="10"/>
        <v>3.0165507980710706E-4</v>
      </c>
      <c r="H48" s="6">
        <f t="shared" si="11"/>
        <v>4.1155679693688556E-4</v>
      </c>
      <c r="I48" s="7">
        <f t="shared" si="6"/>
        <v>42.29529676149604</v>
      </c>
      <c r="J48" s="4">
        <v>42.295296761495997</v>
      </c>
      <c r="K48" s="4" t="str">
        <f t="shared" si="12"/>
        <v>OK</v>
      </c>
    </row>
    <row r="49" spans="1:11" ht="15" customHeight="1" x14ac:dyDescent="0.3">
      <c r="A49" s="4">
        <v>44</v>
      </c>
      <c r="B49" s="4" t="s">
        <v>57</v>
      </c>
      <c r="C49" s="5">
        <v>1.0771900000000001</v>
      </c>
      <c r="D49" s="5">
        <f t="shared" si="7"/>
        <v>1.9000000000000128E-3</v>
      </c>
      <c r="E49" s="5">
        <f t="shared" si="8"/>
        <v>1.9000000000000128E-3</v>
      </c>
      <c r="F49" s="5">
        <f t="shared" si="9"/>
        <v>0</v>
      </c>
      <c r="G49" s="6">
        <f t="shared" si="10"/>
        <v>4.158225741066003E-4</v>
      </c>
      <c r="H49" s="6">
        <f t="shared" si="11"/>
        <v>3.8215988286996515E-4</v>
      </c>
      <c r="I49" s="7">
        <f t="shared" si="6"/>
        <v>52.109237549167318</v>
      </c>
      <c r="J49" s="4">
        <v>52.109237549167297</v>
      </c>
      <c r="K49" s="4" t="str">
        <f t="shared" si="12"/>
        <v>OK</v>
      </c>
    </row>
    <row r="50" spans="1:11" ht="15" customHeight="1" x14ac:dyDescent="0.3">
      <c r="A50" s="4">
        <v>45</v>
      </c>
      <c r="B50" s="4" t="s">
        <v>58</v>
      </c>
      <c r="C50" s="5">
        <v>1.0783</v>
      </c>
      <c r="D50" s="5">
        <f t="shared" si="7"/>
        <v>1.1099999999999444E-3</v>
      </c>
      <c r="E50" s="5">
        <f t="shared" si="8"/>
        <v>1.1099999999999444E-3</v>
      </c>
      <c r="F50" s="5">
        <f t="shared" si="9"/>
        <v>0</v>
      </c>
      <c r="G50" s="6">
        <f t="shared" si="10"/>
        <v>4.6540667595612486E-4</v>
      </c>
      <c r="H50" s="6">
        <f t="shared" si="11"/>
        <v>3.5486274837925338E-4</v>
      </c>
      <c r="I50" s="7">
        <f t="shared" si="6"/>
        <v>56.738269420833255</v>
      </c>
      <c r="J50" s="4">
        <v>56.738269420833298</v>
      </c>
      <c r="K50" s="4" t="str">
        <f t="shared" si="12"/>
        <v>OK</v>
      </c>
    </row>
    <row r="51" spans="1:11" ht="15" customHeight="1" x14ac:dyDescent="0.3">
      <c r="A51" s="4">
        <v>46</v>
      </c>
      <c r="B51" s="4" t="s">
        <v>59</v>
      </c>
      <c r="C51" s="5">
        <v>1.07481</v>
      </c>
      <c r="D51" s="5">
        <f t="shared" si="7"/>
        <v>-3.4899999999999931E-3</v>
      </c>
      <c r="E51" s="5">
        <f t="shared" si="8"/>
        <v>0</v>
      </c>
      <c r="F51" s="5">
        <f t="shared" si="9"/>
        <v>3.4899999999999931E-3</v>
      </c>
      <c r="G51" s="6">
        <f t="shared" si="10"/>
        <v>4.3216334195925882E-4</v>
      </c>
      <c r="H51" s="6">
        <f t="shared" si="11"/>
        <v>5.7880112349502051E-4</v>
      </c>
      <c r="I51" s="7">
        <f t="shared" si="6"/>
        <v>42.747629291308982</v>
      </c>
      <c r="J51" s="4">
        <v>42.747629291309003</v>
      </c>
      <c r="K51" s="4" t="str">
        <f t="shared" si="12"/>
        <v>OK</v>
      </c>
    </row>
    <row r="52" spans="1:11" ht="15" customHeight="1" x14ac:dyDescent="0.3">
      <c r="A52" s="4">
        <v>47</v>
      </c>
      <c r="B52" s="4" t="s">
        <v>60</v>
      </c>
      <c r="C52" s="5">
        <v>1.0732699999999999</v>
      </c>
      <c r="D52" s="5">
        <f t="shared" si="7"/>
        <v>-1.5400000000000968E-3</v>
      </c>
      <c r="E52" s="5">
        <f t="shared" si="8"/>
        <v>0</v>
      </c>
      <c r="F52" s="5">
        <f t="shared" si="9"/>
        <v>1.5400000000000968E-3</v>
      </c>
      <c r="G52" s="6">
        <f t="shared" si="10"/>
        <v>4.012945318193118E-4</v>
      </c>
      <c r="H52" s="6">
        <f t="shared" si="11"/>
        <v>6.4745818610252592E-4</v>
      </c>
      <c r="I52" s="7">
        <f t="shared" si="6"/>
        <v>38.263980151059769</v>
      </c>
      <c r="J52" s="4">
        <v>38.263980151059798</v>
      </c>
      <c r="K52" s="4" t="str">
        <f t="shared" si="12"/>
        <v>OK</v>
      </c>
    </row>
    <row r="53" spans="1:11" ht="15" customHeight="1" x14ac:dyDescent="0.3">
      <c r="A53" s="4">
        <v>48</v>
      </c>
      <c r="B53" s="4" t="s">
        <v>61</v>
      </c>
      <c r="C53" s="5">
        <v>1.07222</v>
      </c>
      <c r="D53" s="5">
        <f t="shared" si="7"/>
        <v>-1.0499999999999954E-3</v>
      </c>
      <c r="E53" s="5">
        <f t="shared" si="8"/>
        <v>0</v>
      </c>
      <c r="F53" s="5">
        <f t="shared" si="9"/>
        <v>1.0499999999999954E-3</v>
      </c>
      <c r="G53" s="6">
        <f t="shared" si="10"/>
        <v>3.7263063668936094E-4</v>
      </c>
      <c r="H53" s="6">
        <f t="shared" si="11"/>
        <v>6.7621117280948799E-4</v>
      </c>
      <c r="I53" s="7">
        <f t="shared" si="6"/>
        <v>35.527820622197453</v>
      </c>
      <c r="J53" s="4">
        <v>35.527820622197503</v>
      </c>
      <c r="K53" s="4" t="str">
        <f t="shared" si="12"/>
        <v>OK</v>
      </c>
    </row>
    <row r="54" spans="1:11" ht="15" customHeight="1" x14ac:dyDescent="0.3">
      <c r="A54" s="4">
        <v>49</v>
      </c>
      <c r="B54" s="4" t="s">
        <v>62</v>
      </c>
      <c r="C54" s="5">
        <v>1.0718000000000001</v>
      </c>
      <c r="D54" s="5">
        <f t="shared" si="7"/>
        <v>-4.1999999999986493E-4</v>
      </c>
      <c r="E54" s="5">
        <f t="shared" si="8"/>
        <v>0</v>
      </c>
      <c r="F54" s="5">
        <f t="shared" si="9"/>
        <v>4.1999999999986493E-4</v>
      </c>
      <c r="G54" s="6">
        <f t="shared" si="10"/>
        <v>3.4601416264012089E-4</v>
      </c>
      <c r="H54" s="6">
        <f t="shared" si="11"/>
        <v>6.5791037475165771E-4</v>
      </c>
      <c r="I54" s="7">
        <f t="shared" si="6"/>
        <v>34.466152559541413</v>
      </c>
      <c r="J54" s="4">
        <v>34.466152559541399</v>
      </c>
      <c r="K54" s="4" t="str">
        <f t="shared" si="12"/>
        <v>OK</v>
      </c>
    </row>
  </sheetData>
  <conditionalFormatting sqref="K5:K54">
    <cfRule type="cellIs" dxfId="4" priority="2" operator="equal">
      <formula>"OK"</formula>
    </cfRule>
    <cfRule type="cellIs" dxfId="3" priority="3" operator="equal">
      <formula>"CHECK"</formula>
    </cfRule>
    <cfRule type="cellIs" dxfId="2" priority="4" operator="equal">
      <formula>"—"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zoomScaleNormal="100" workbookViewId="0">
      <pane ySplit="4" topLeftCell="A40" activePane="bottomLeft" state="frozen"/>
      <selection pane="bottomLeft" activeCell="G53" sqref="G53"/>
    </sheetView>
  </sheetViews>
  <sheetFormatPr defaultColWidth="8.6640625" defaultRowHeight="14.4" x14ac:dyDescent="0.3"/>
  <cols>
    <col min="1" max="1" width="9" customWidth="1"/>
    <col min="2" max="2" width="11" customWidth="1"/>
    <col min="3" max="3" width="14" customWidth="1"/>
    <col min="4" max="4" width="12" customWidth="1"/>
    <col min="5" max="5" width="10" customWidth="1"/>
    <col min="6" max="8" width="12" customWidth="1"/>
    <col min="9" max="9" width="10" customWidth="1"/>
    <col min="10" max="10" width="13" customWidth="1"/>
    <col min="11" max="11" width="15" customWidth="1"/>
  </cols>
  <sheetData>
    <row r="1" spans="1:11" ht="17.25" customHeight="1" x14ac:dyDescent="0.3">
      <c r="A1" s="27" t="s">
        <v>63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5" customHeight="1" x14ac:dyDescent="0.3">
      <c r="A2" s="26" t="s">
        <v>120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spans="1:11" ht="15" customHeight="1" x14ac:dyDescent="0.3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</row>
    <row r="5" spans="1:11" ht="15" customHeight="1" x14ac:dyDescent="0.3">
      <c r="A5" s="4">
        <v>1</v>
      </c>
      <c r="B5" s="4" t="s">
        <v>75</v>
      </c>
      <c r="C5" s="4" t="s">
        <v>76</v>
      </c>
      <c r="D5" s="4" t="s">
        <v>77</v>
      </c>
      <c r="E5" s="4" t="s">
        <v>78</v>
      </c>
      <c r="F5" s="5">
        <v>154.16999000000001</v>
      </c>
      <c r="G5" s="5">
        <v>154.17229</v>
      </c>
      <c r="H5" s="8">
        <v>2300</v>
      </c>
      <c r="I5" s="4">
        <f t="shared" ref="I5:I44" si="0">IF(H5&gt;0,1,0)</f>
        <v>1</v>
      </c>
      <c r="J5" s="4">
        <f>I5</f>
        <v>1</v>
      </c>
      <c r="K5" s="9">
        <f t="shared" ref="K5:K44" si="1">J5/(ROW()-5+1)</f>
        <v>1</v>
      </c>
    </row>
    <row r="6" spans="1:11" ht="15" customHeight="1" x14ac:dyDescent="0.3">
      <c r="A6" s="4">
        <v>2</v>
      </c>
      <c r="B6" s="4" t="s">
        <v>79</v>
      </c>
      <c r="C6" s="4" t="s">
        <v>80</v>
      </c>
      <c r="D6" s="4" t="s">
        <v>81</v>
      </c>
      <c r="E6" s="4" t="s">
        <v>82</v>
      </c>
      <c r="F6" s="5">
        <v>83.901439999999994</v>
      </c>
      <c r="G6" s="5">
        <v>83.900700000000001</v>
      </c>
      <c r="H6" s="8">
        <v>740</v>
      </c>
      <c r="I6" s="4">
        <f t="shared" si="0"/>
        <v>1</v>
      </c>
      <c r="J6" s="4">
        <f t="shared" ref="J6:J44" si="2">J5+I6</f>
        <v>2</v>
      </c>
      <c r="K6" s="9">
        <f t="shared" si="1"/>
        <v>1</v>
      </c>
    </row>
    <row r="7" spans="1:11" ht="15" customHeight="1" x14ac:dyDescent="0.3">
      <c r="A7" s="4">
        <v>3</v>
      </c>
      <c r="B7" s="4" t="s">
        <v>75</v>
      </c>
      <c r="C7" s="4" t="s">
        <v>83</v>
      </c>
      <c r="D7" s="4" t="s">
        <v>77</v>
      </c>
      <c r="E7" s="4" t="s">
        <v>78</v>
      </c>
      <c r="F7" s="5">
        <v>150.56125</v>
      </c>
      <c r="G7" s="5">
        <v>150.56093000000001</v>
      </c>
      <c r="H7" s="8">
        <v>-320</v>
      </c>
      <c r="I7" s="4">
        <f t="shared" si="0"/>
        <v>0</v>
      </c>
      <c r="J7" s="4">
        <f t="shared" si="2"/>
        <v>2</v>
      </c>
      <c r="K7" s="9">
        <f t="shared" si="1"/>
        <v>0.66666666666666663</v>
      </c>
    </row>
    <row r="8" spans="1:11" ht="15" customHeight="1" x14ac:dyDescent="0.3">
      <c r="A8" s="4">
        <v>4</v>
      </c>
      <c r="B8" s="4" t="s">
        <v>84</v>
      </c>
      <c r="C8" s="4" t="s">
        <v>85</v>
      </c>
      <c r="D8" s="4" t="s">
        <v>86</v>
      </c>
      <c r="E8" s="4" t="s">
        <v>82</v>
      </c>
      <c r="F8" s="5">
        <v>1.2363599999999999</v>
      </c>
      <c r="G8" s="5">
        <v>1.23434</v>
      </c>
      <c r="H8" s="8">
        <v>202</v>
      </c>
      <c r="I8" s="4">
        <f t="shared" si="0"/>
        <v>1</v>
      </c>
      <c r="J8" s="4">
        <f t="shared" si="2"/>
        <v>3</v>
      </c>
      <c r="K8" s="9">
        <f t="shared" si="1"/>
        <v>0.75</v>
      </c>
    </row>
    <row r="9" spans="1:11" ht="15" customHeight="1" x14ac:dyDescent="0.3">
      <c r="A9" s="4">
        <v>5</v>
      </c>
      <c r="B9" s="4" t="s">
        <v>87</v>
      </c>
      <c r="C9" s="4" t="s">
        <v>83</v>
      </c>
      <c r="D9" s="4" t="s">
        <v>77</v>
      </c>
      <c r="E9" s="4" t="s">
        <v>78</v>
      </c>
      <c r="F9" s="5">
        <v>0.66810000000000003</v>
      </c>
      <c r="G9" s="5">
        <v>0.66700000000000004</v>
      </c>
      <c r="H9" s="8">
        <v>-110</v>
      </c>
      <c r="I9" s="4">
        <f t="shared" si="0"/>
        <v>0</v>
      </c>
      <c r="J9" s="4">
        <f t="shared" si="2"/>
        <v>3</v>
      </c>
      <c r="K9" s="9">
        <f t="shared" si="1"/>
        <v>0.6</v>
      </c>
    </row>
    <row r="10" spans="1:11" ht="15" customHeight="1" x14ac:dyDescent="0.3">
      <c r="A10" s="4">
        <v>6</v>
      </c>
      <c r="B10" s="4" t="s">
        <v>88</v>
      </c>
      <c r="C10" s="4" t="s">
        <v>89</v>
      </c>
      <c r="D10" s="4" t="s">
        <v>77</v>
      </c>
      <c r="E10" s="4" t="s">
        <v>78</v>
      </c>
      <c r="F10" s="5">
        <v>1.1087400000000001</v>
      </c>
      <c r="G10" s="5">
        <v>1.10988</v>
      </c>
      <c r="H10" s="8">
        <v>114</v>
      </c>
      <c r="I10" s="4">
        <f t="shared" si="0"/>
        <v>1</v>
      </c>
      <c r="J10" s="4">
        <f t="shared" si="2"/>
        <v>4</v>
      </c>
      <c r="K10" s="9">
        <f t="shared" si="1"/>
        <v>0.66666666666666663</v>
      </c>
    </row>
    <row r="11" spans="1:11" ht="15" customHeight="1" x14ac:dyDescent="0.3">
      <c r="A11" s="4">
        <v>7</v>
      </c>
      <c r="B11" s="4" t="s">
        <v>75</v>
      </c>
      <c r="C11" s="4" t="s">
        <v>80</v>
      </c>
      <c r="D11" s="4" t="s">
        <v>81</v>
      </c>
      <c r="E11" s="4" t="s">
        <v>82</v>
      </c>
      <c r="F11" s="5">
        <v>140.74422000000001</v>
      </c>
      <c r="G11" s="5">
        <v>140.74573000000001</v>
      </c>
      <c r="H11" s="8">
        <v>-1510</v>
      </c>
      <c r="I11" s="4">
        <f t="shared" si="0"/>
        <v>0</v>
      </c>
      <c r="J11" s="4">
        <f t="shared" si="2"/>
        <v>4</v>
      </c>
      <c r="K11" s="9">
        <f t="shared" si="1"/>
        <v>0.5714285714285714</v>
      </c>
    </row>
    <row r="12" spans="1:11" ht="15" customHeight="1" x14ac:dyDescent="0.3">
      <c r="A12" s="4">
        <v>8</v>
      </c>
      <c r="B12" s="4" t="s">
        <v>87</v>
      </c>
      <c r="C12" s="4" t="s">
        <v>80</v>
      </c>
      <c r="D12" s="4" t="s">
        <v>90</v>
      </c>
      <c r="E12" s="4" t="s">
        <v>78</v>
      </c>
      <c r="F12" s="5">
        <v>0.68808999999999998</v>
      </c>
      <c r="G12" s="5">
        <v>0.68928</v>
      </c>
      <c r="H12" s="8">
        <v>119</v>
      </c>
      <c r="I12" s="4">
        <f t="shared" si="0"/>
        <v>1</v>
      </c>
      <c r="J12" s="4">
        <f t="shared" si="2"/>
        <v>5</v>
      </c>
      <c r="K12" s="9">
        <f t="shared" si="1"/>
        <v>0.625</v>
      </c>
    </row>
    <row r="13" spans="1:11" ht="15" customHeight="1" x14ac:dyDescent="0.3">
      <c r="A13" s="4">
        <v>9</v>
      </c>
      <c r="B13" s="4" t="s">
        <v>84</v>
      </c>
      <c r="C13" s="4" t="s">
        <v>83</v>
      </c>
      <c r="D13" s="4" t="s">
        <v>77</v>
      </c>
      <c r="E13" s="4" t="s">
        <v>78</v>
      </c>
      <c r="F13" s="5">
        <v>1.2368600000000001</v>
      </c>
      <c r="G13" s="5">
        <v>1.24044</v>
      </c>
      <c r="H13" s="8">
        <v>358</v>
      </c>
      <c r="I13" s="4">
        <f t="shared" si="0"/>
        <v>1</v>
      </c>
      <c r="J13" s="4">
        <f t="shared" si="2"/>
        <v>6</v>
      </c>
      <c r="K13" s="9">
        <f t="shared" si="1"/>
        <v>0.66666666666666663</v>
      </c>
    </row>
    <row r="14" spans="1:11" ht="15" customHeight="1" x14ac:dyDescent="0.3">
      <c r="A14" s="4">
        <v>10</v>
      </c>
      <c r="B14" s="4" t="s">
        <v>75</v>
      </c>
      <c r="C14" s="4" t="s">
        <v>91</v>
      </c>
      <c r="D14" s="4" t="s">
        <v>77</v>
      </c>
      <c r="E14" s="4" t="s">
        <v>78</v>
      </c>
      <c r="F14" s="5">
        <v>151.24139</v>
      </c>
      <c r="G14" s="5">
        <v>151.24213</v>
      </c>
      <c r="H14" s="8">
        <v>740</v>
      </c>
      <c r="I14" s="4">
        <f t="shared" si="0"/>
        <v>1</v>
      </c>
      <c r="J14" s="4">
        <f t="shared" si="2"/>
        <v>7</v>
      </c>
      <c r="K14" s="9">
        <f t="shared" si="1"/>
        <v>0.7</v>
      </c>
    </row>
    <row r="15" spans="1:11" ht="15" customHeight="1" x14ac:dyDescent="0.3">
      <c r="A15" s="4">
        <v>11</v>
      </c>
      <c r="B15" s="4" t="s">
        <v>88</v>
      </c>
      <c r="C15" s="4" t="s">
        <v>76</v>
      </c>
      <c r="D15" s="4" t="s">
        <v>90</v>
      </c>
      <c r="E15" s="4" t="s">
        <v>78</v>
      </c>
      <c r="F15" s="5">
        <v>1.07416</v>
      </c>
      <c r="G15" s="5">
        <v>1.0758799999999999</v>
      </c>
      <c r="H15" s="8">
        <v>172</v>
      </c>
      <c r="I15" s="4">
        <f t="shared" si="0"/>
        <v>1</v>
      </c>
      <c r="J15" s="4">
        <f t="shared" si="2"/>
        <v>8</v>
      </c>
      <c r="K15" s="9">
        <f t="shared" si="1"/>
        <v>0.72727272727272729</v>
      </c>
    </row>
    <row r="16" spans="1:11" ht="15" customHeight="1" x14ac:dyDescent="0.3">
      <c r="A16" s="4">
        <v>12</v>
      </c>
      <c r="B16" s="4" t="s">
        <v>84</v>
      </c>
      <c r="C16" s="4" t="s">
        <v>91</v>
      </c>
      <c r="D16" s="4" t="s">
        <v>81</v>
      </c>
      <c r="E16" s="4" t="s">
        <v>82</v>
      </c>
      <c r="F16" s="5">
        <v>1.2878499999999999</v>
      </c>
      <c r="G16" s="5">
        <v>1.2870600000000001</v>
      </c>
      <c r="H16" s="8">
        <v>79</v>
      </c>
      <c r="I16" s="4">
        <f t="shared" si="0"/>
        <v>1</v>
      </c>
      <c r="J16" s="4">
        <f t="shared" si="2"/>
        <v>9</v>
      </c>
      <c r="K16" s="9">
        <f t="shared" si="1"/>
        <v>0.75</v>
      </c>
    </row>
    <row r="17" spans="1:11" ht="15" customHeight="1" x14ac:dyDescent="0.3">
      <c r="A17" s="4">
        <v>13</v>
      </c>
      <c r="B17" s="4" t="s">
        <v>87</v>
      </c>
      <c r="C17" s="4" t="s">
        <v>91</v>
      </c>
      <c r="D17" s="4" t="s">
        <v>86</v>
      </c>
      <c r="E17" s="4" t="s">
        <v>82</v>
      </c>
      <c r="F17" s="5">
        <v>0.69477999999999995</v>
      </c>
      <c r="G17" s="5">
        <v>0.69625999999999999</v>
      </c>
      <c r="H17" s="8">
        <v>-148</v>
      </c>
      <c r="I17" s="4">
        <f t="shared" si="0"/>
        <v>0</v>
      </c>
      <c r="J17" s="4">
        <f t="shared" si="2"/>
        <v>9</v>
      </c>
      <c r="K17" s="9">
        <f t="shared" si="1"/>
        <v>0.69230769230769229</v>
      </c>
    </row>
    <row r="18" spans="1:11" ht="15" customHeight="1" x14ac:dyDescent="0.3">
      <c r="A18" s="4">
        <v>14</v>
      </c>
      <c r="B18" s="4" t="s">
        <v>87</v>
      </c>
      <c r="C18" s="4" t="s">
        <v>83</v>
      </c>
      <c r="D18" s="4" t="s">
        <v>81</v>
      </c>
      <c r="E18" s="4" t="s">
        <v>82</v>
      </c>
      <c r="F18" s="5">
        <v>0.69940999999999998</v>
      </c>
      <c r="G18" s="5">
        <v>0.70528000000000002</v>
      </c>
      <c r="H18" s="8">
        <v>-587</v>
      </c>
      <c r="I18" s="4">
        <f t="shared" si="0"/>
        <v>0</v>
      </c>
      <c r="J18" s="4">
        <f t="shared" si="2"/>
        <v>9</v>
      </c>
      <c r="K18" s="9">
        <f t="shared" si="1"/>
        <v>0.6428571428571429</v>
      </c>
    </row>
    <row r="19" spans="1:11" ht="15" customHeight="1" x14ac:dyDescent="0.3">
      <c r="A19" s="4">
        <v>15</v>
      </c>
      <c r="B19" s="4" t="s">
        <v>84</v>
      </c>
      <c r="C19" s="4" t="s">
        <v>89</v>
      </c>
      <c r="D19" s="4" t="s">
        <v>77</v>
      </c>
      <c r="E19" s="4" t="s">
        <v>78</v>
      </c>
      <c r="F19" s="5">
        <v>1.22712</v>
      </c>
      <c r="G19" s="5">
        <v>1.2273799999999999</v>
      </c>
      <c r="H19" s="8">
        <v>26</v>
      </c>
      <c r="I19" s="4">
        <f t="shared" si="0"/>
        <v>1</v>
      </c>
      <c r="J19" s="4">
        <f t="shared" si="2"/>
        <v>10</v>
      </c>
      <c r="K19" s="9">
        <f t="shared" si="1"/>
        <v>0.66666666666666663</v>
      </c>
    </row>
    <row r="20" spans="1:11" ht="15" customHeight="1" x14ac:dyDescent="0.3">
      <c r="A20" s="4">
        <v>16</v>
      </c>
      <c r="B20" s="4" t="s">
        <v>75</v>
      </c>
      <c r="C20" s="4" t="s">
        <v>89</v>
      </c>
      <c r="D20" s="4" t="s">
        <v>86</v>
      </c>
      <c r="E20" s="4" t="s">
        <v>82</v>
      </c>
      <c r="F20" s="5">
        <v>140.92713000000001</v>
      </c>
      <c r="G20" s="5">
        <v>140.92624000000001</v>
      </c>
      <c r="H20" s="8">
        <v>890</v>
      </c>
      <c r="I20" s="4">
        <f t="shared" si="0"/>
        <v>1</v>
      </c>
      <c r="J20" s="4">
        <f t="shared" si="2"/>
        <v>11</v>
      </c>
      <c r="K20" s="9">
        <f t="shared" si="1"/>
        <v>0.6875</v>
      </c>
    </row>
    <row r="21" spans="1:11" ht="15" customHeight="1" x14ac:dyDescent="0.3">
      <c r="A21" s="4">
        <v>17</v>
      </c>
      <c r="B21" s="4" t="s">
        <v>87</v>
      </c>
      <c r="C21" s="4" t="s">
        <v>83</v>
      </c>
      <c r="D21" s="4" t="s">
        <v>81</v>
      </c>
      <c r="E21" s="4" t="s">
        <v>82</v>
      </c>
      <c r="F21" s="5">
        <v>0.66049000000000002</v>
      </c>
      <c r="G21" s="5">
        <v>0.65773999999999999</v>
      </c>
      <c r="H21" s="8">
        <v>275</v>
      </c>
      <c r="I21" s="4">
        <f t="shared" si="0"/>
        <v>1</v>
      </c>
      <c r="J21" s="4">
        <f t="shared" si="2"/>
        <v>12</v>
      </c>
      <c r="K21" s="9">
        <f t="shared" si="1"/>
        <v>0.70588235294117652</v>
      </c>
    </row>
    <row r="22" spans="1:11" ht="15" customHeight="1" x14ac:dyDescent="0.3">
      <c r="A22" s="4">
        <v>18</v>
      </c>
      <c r="B22" s="4" t="s">
        <v>75</v>
      </c>
      <c r="C22" s="4" t="s">
        <v>80</v>
      </c>
      <c r="D22" s="4" t="s">
        <v>86</v>
      </c>
      <c r="E22" s="4" t="s">
        <v>82</v>
      </c>
      <c r="F22" s="5">
        <v>149.71275</v>
      </c>
      <c r="G22" s="5">
        <v>149.71287000000001</v>
      </c>
      <c r="H22" s="8">
        <v>-120</v>
      </c>
      <c r="I22" s="4">
        <f t="shared" si="0"/>
        <v>0</v>
      </c>
      <c r="J22" s="4">
        <f t="shared" si="2"/>
        <v>12</v>
      </c>
      <c r="K22" s="9">
        <f t="shared" si="1"/>
        <v>0.66666666666666663</v>
      </c>
    </row>
    <row r="23" spans="1:11" ht="15" customHeight="1" x14ac:dyDescent="0.3">
      <c r="A23" s="4">
        <v>19</v>
      </c>
      <c r="B23" s="4" t="s">
        <v>79</v>
      </c>
      <c r="C23" s="4" t="s">
        <v>76</v>
      </c>
      <c r="D23" s="4" t="s">
        <v>86</v>
      </c>
      <c r="E23" s="4" t="s">
        <v>82</v>
      </c>
      <c r="F23" s="5">
        <v>84.353830000000002</v>
      </c>
      <c r="G23" s="5">
        <v>84.354219999999998</v>
      </c>
      <c r="H23" s="8">
        <v>-390</v>
      </c>
      <c r="I23" s="4">
        <f t="shared" si="0"/>
        <v>0</v>
      </c>
      <c r="J23" s="4">
        <f t="shared" si="2"/>
        <v>12</v>
      </c>
      <c r="K23" s="9">
        <f t="shared" si="1"/>
        <v>0.63157894736842102</v>
      </c>
    </row>
    <row r="24" spans="1:11" ht="15" customHeight="1" x14ac:dyDescent="0.3">
      <c r="A24" s="4">
        <v>20</v>
      </c>
      <c r="B24" s="4" t="s">
        <v>75</v>
      </c>
      <c r="C24" s="4" t="s">
        <v>83</v>
      </c>
      <c r="D24" s="4" t="s">
        <v>90</v>
      </c>
      <c r="E24" s="4" t="s">
        <v>78</v>
      </c>
      <c r="F24" s="5">
        <v>145.35153</v>
      </c>
      <c r="G24" s="5">
        <v>145.35616999999999</v>
      </c>
      <c r="H24" s="8">
        <v>4640</v>
      </c>
      <c r="I24" s="4">
        <f t="shared" si="0"/>
        <v>1</v>
      </c>
      <c r="J24" s="4">
        <f t="shared" si="2"/>
        <v>13</v>
      </c>
      <c r="K24" s="9">
        <f t="shared" si="1"/>
        <v>0.65</v>
      </c>
    </row>
    <row r="25" spans="1:11" ht="15" customHeight="1" x14ac:dyDescent="0.3">
      <c r="A25" s="4">
        <v>21</v>
      </c>
      <c r="B25" s="4" t="s">
        <v>88</v>
      </c>
      <c r="C25" s="4" t="s">
        <v>91</v>
      </c>
      <c r="D25" s="4" t="s">
        <v>77</v>
      </c>
      <c r="E25" s="4" t="s">
        <v>78</v>
      </c>
      <c r="F25" s="5">
        <v>1.1010800000000001</v>
      </c>
      <c r="G25" s="5">
        <v>1.10172</v>
      </c>
      <c r="H25" s="8">
        <v>64</v>
      </c>
      <c r="I25" s="4">
        <f t="shared" si="0"/>
        <v>1</v>
      </c>
      <c r="J25" s="4">
        <f t="shared" si="2"/>
        <v>14</v>
      </c>
      <c r="K25" s="9">
        <f t="shared" si="1"/>
        <v>0.66666666666666663</v>
      </c>
    </row>
    <row r="26" spans="1:11" ht="15" customHeight="1" x14ac:dyDescent="0.3">
      <c r="A26" s="4">
        <v>22</v>
      </c>
      <c r="B26" s="4" t="s">
        <v>79</v>
      </c>
      <c r="C26" s="4" t="s">
        <v>91</v>
      </c>
      <c r="D26" s="4" t="s">
        <v>77</v>
      </c>
      <c r="E26" s="4" t="s">
        <v>78</v>
      </c>
      <c r="F26" s="5">
        <v>83.328639999999993</v>
      </c>
      <c r="G26" s="5">
        <v>83.330690000000004</v>
      </c>
      <c r="H26" s="8">
        <v>2050</v>
      </c>
      <c r="I26" s="4">
        <f t="shared" si="0"/>
        <v>1</v>
      </c>
      <c r="J26" s="4">
        <f t="shared" si="2"/>
        <v>15</v>
      </c>
      <c r="K26" s="9">
        <f t="shared" si="1"/>
        <v>0.68181818181818177</v>
      </c>
    </row>
    <row r="27" spans="1:11" ht="15" customHeight="1" x14ac:dyDescent="0.3">
      <c r="A27" s="4">
        <v>23</v>
      </c>
      <c r="B27" s="4" t="s">
        <v>75</v>
      </c>
      <c r="C27" s="4" t="s">
        <v>91</v>
      </c>
      <c r="D27" s="4" t="s">
        <v>81</v>
      </c>
      <c r="E27" s="4" t="s">
        <v>82</v>
      </c>
      <c r="F27" s="5">
        <v>151.00825</v>
      </c>
      <c r="G27" s="5">
        <v>151.00459000000001</v>
      </c>
      <c r="H27" s="8">
        <v>3660</v>
      </c>
      <c r="I27" s="4">
        <f t="shared" si="0"/>
        <v>1</v>
      </c>
      <c r="J27" s="4">
        <f t="shared" si="2"/>
        <v>16</v>
      </c>
      <c r="K27" s="9">
        <f t="shared" si="1"/>
        <v>0.69565217391304346</v>
      </c>
    </row>
    <row r="28" spans="1:11" ht="15" customHeight="1" x14ac:dyDescent="0.3">
      <c r="A28" s="4">
        <v>24</v>
      </c>
      <c r="B28" s="4" t="s">
        <v>84</v>
      </c>
      <c r="C28" s="4" t="s">
        <v>89</v>
      </c>
      <c r="D28" s="4" t="s">
        <v>90</v>
      </c>
      <c r="E28" s="4" t="s">
        <v>78</v>
      </c>
      <c r="F28" s="5">
        <v>1.2212099999999999</v>
      </c>
      <c r="G28" s="5">
        <v>1.22688</v>
      </c>
      <c r="H28" s="8">
        <v>567</v>
      </c>
      <c r="I28" s="4">
        <f t="shared" si="0"/>
        <v>1</v>
      </c>
      <c r="J28" s="4">
        <f t="shared" si="2"/>
        <v>17</v>
      </c>
      <c r="K28" s="9">
        <f t="shared" si="1"/>
        <v>0.70833333333333337</v>
      </c>
    </row>
    <row r="29" spans="1:11" ht="15" customHeight="1" x14ac:dyDescent="0.3">
      <c r="A29" s="4">
        <v>25</v>
      </c>
      <c r="B29" s="4" t="s">
        <v>84</v>
      </c>
      <c r="C29" s="4" t="s">
        <v>91</v>
      </c>
      <c r="D29" s="4" t="s">
        <v>81</v>
      </c>
      <c r="E29" s="4" t="s">
        <v>82</v>
      </c>
      <c r="F29" s="5">
        <v>1.2725599999999999</v>
      </c>
      <c r="G29" s="5">
        <v>1.27301</v>
      </c>
      <c r="H29" s="8">
        <v>-45</v>
      </c>
      <c r="I29" s="4">
        <f t="shared" si="0"/>
        <v>0</v>
      </c>
      <c r="J29" s="4">
        <f t="shared" si="2"/>
        <v>17</v>
      </c>
      <c r="K29" s="9">
        <f t="shared" si="1"/>
        <v>0.68</v>
      </c>
    </row>
    <row r="30" spans="1:11" ht="15" customHeight="1" x14ac:dyDescent="0.3">
      <c r="A30" s="4">
        <v>26</v>
      </c>
      <c r="B30" s="4" t="s">
        <v>84</v>
      </c>
      <c r="C30" s="4" t="s">
        <v>85</v>
      </c>
      <c r="D30" s="4" t="s">
        <v>81</v>
      </c>
      <c r="E30" s="4" t="s">
        <v>82</v>
      </c>
      <c r="F30" s="5">
        <v>1.2283599999999999</v>
      </c>
      <c r="G30" s="5">
        <v>1.2255799999999999</v>
      </c>
      <c r="H30" s="8">
        <v>278</v>
      </c>
      <c r="I30" s="4">
        <f t="shared" si="0"/>
        <v>1</v>
      </c>
      <c r="J30" s="4">
        <f t="shared" si="2"/>
        <v>18</v>
      </c>
      <c r="K30" s="9">
        <f t="shared" si="1"/>
        <v>0.69230769230769229</v>
      </c>
    </row>
    <row r="31" spans="1:11" ht="15" customHeight="1" x14ac:dyDescent="0.3">
      <c r="A31" s="4">
        <v>27</v>
      </c>
      <c r="B31" s="4" t="s">
        <v>84</v>
      </c>
      <c r="C31" s="4" t="s">
        <v>85</v>
      </c>
      <c r="D31" s="4" t="s">
        <v>86</v>
      </c>
      <c r="E31" s="4" t="s">
        <v>82</v>
      </c>
      <c r="F31" s="5">
        <v>1.2371799999999999</v>
      </c>
      <c r="G31" s="5">
        <v>1.2365299999999999</v>
      </c>
      <c r="H31" s="8">
        <v>65</v>
      </c>
      <c r="I31" s="4">
        <f t="shared" si="0"/>
        <v>1</v>
      </c>
      <c r="J31" s="4">
        <f t="shared" si="2"/>
        <v>19</v>
      </c>
      <c r="K31" s="9">
        <f t="shared" si="1"/>
        <v>0.70370370370370372</v>
      </c>
    </row>
    <row r="32" spans="1:11" ht="15" customHeight="1" x14ac:dyDescent="0.3">
      <c r="A32" s="4">
        <v>28</v>
      </c>
      <c r="B32" s="4" t="s">
        <v>84</v>
      </c>
      <c r="C32" s="4" t="s">
        <v>89</v>
      </c>
      <c r="D32" s="4" t="s">
        <v>81</v>
      </c>
      <c r="E32" s="4" t="s">
        <v>82</v>
      </c>
      <c r="F32" s="5">
        <v>1.2282599999999999</v>
      </c>
      <c r="G32" s="5">
        <v>1.2301</v>
      </c>
      <c r="H32" s="8">
        <v>-184</v>
      </c>
      <c r="I32" s="4">
        <f t="shared" si="0"/>
        <v>0</v>
      </c>
      <c r="J32" s="4">
        <f t="shared" si="2"/>
        <v>19</v>
      </c>
      <c r="K32" s="9">
        <f t="shared" si="1"/>
        <v>0.6785714285714286</v>
      </c>
    </row>
    <row r="33" spans="1:11" ht="15" customHeight="1" x14ac:dyDescent="0.3">
      <c r="A33" s="4">
        <v>29</v>
      </c>
      <c r="B33" s="4" t="s">
        <v>79</v>
      </c>
      <c r="C33" s="4" t="s">
        <v>85</v>
      </c>
      <c r="D33" s="4" t="s">
        <v>86</v>
      </c>
      <c r="E33" s="4" t="s">
        <v>82</v>
      </c>
      <c r="F33" s="5">
        <v>83.058869999999999</v>
      </c>
      <c r="G33" s="5">
        <v>83.060760000000002</v>
      </c>
      <c r="H33" s="8">
        <v>-1890</v>
      </c>
      <c r="I33" s="4">
        <f t="shared" si="0"/>
        <v>0</v>
      </c>
      <c r="J33" s="4">
        <f t="shared" si="2"/>
        <v>19</v>
      </c>
      <c r="K33" s="9">
        <f t="shared" si="1"/>
        <v>0.65517241379310343</v>
      </c>
    </row>
    <row r="34" spans="1:11" ht="15" customHeight="1" x14ac:dyDescent="0.3">
      <c r="A34" s="4">
        <v>30</v>
      </c>
      <c r="B34" s="4" t="s">
        <v>88</v>
      </c>
      <c r="C34" s="4" t="s">
        <v>89</v>
      </c>
      <c r="D34" s="4" t="s">
        <v>77</v>
      </c>
      <c r="E34" s="4" t="s">
        <v>78</v>
      </c>
      <c r="F34" s="5">
        <v>1.08206</v>
      </c>
      <c r="G34" s="5">
        <v>1.08453</v>
      </c>
      <c r="H34" s="8">
        <v>247</v>
      </c>
      <c r="I34" s="4">
        <f t="shared" si="0"/>
        <v>1</v>
      </c>
      <c r="J34" s="4">
        <f t="shared" si="2"/>
        <v>20</v>
      </c>
      <c r="K34" s="9">
        <f t="shared" si="1"/>
        <v>0.66666666666666663</v>
      </c>
    </row>
    <row r="35" spans="1:11" ht="15" customHeight="1" x14ac:dyDescent="0.3">
      <c r="A35" s="4">
        <v>31</v>
      </c>
      <c r="B35" s="4" t="s">
        <v>88</v>
      </c>
      <c r="C35" s="4" t="s">
        <v>80</v>
      </c>
      <c r="D35" s="4" t="s">
        <v>90</v>
      </c>
      <c r="E35" s="4" t="s">
        <v>78</v>
      </c>
      <c r="F35" s="5">
        <v>1.0982099999999999</v>
      </c>
      <c r="G35" s="5">
        <v>1.0992299999999999</v>
      </c>
      <c r="H35" s="8">
        <v>102</v>
      </c>
      <c r="I35" s="4">
        <f t="shared" si="0"/>
        <v>1</v>
      </c>
      <c r="J35" s="4">
        <f t="shared" si="2"/>
        <v>21</v>
      </c>
      <c r="K35" s="9">
        <f t="shared" si="1"/>
        <v>0.67741935483870963</v>
      </c>
    </row>
    <row r="36" spans="1:11" ht="15" customHeight="1" x14ac:dyDescent="0.3">
      <c r="A36" s="4">
        <v>32</v>
      </c>
      <c r="B36" s="4" t="s">
        <v>88</v>
      </c>
      <c r="C36" s="4" t="s">
        <v>80</v>
      </c>
      <c r="D36" s="4" t="s">
        <v>86</v>
      </c>
      <c r="E36" s="4" t="s">
        <v>82</v>
      </c>
      <c r="F36" s="5">
        <v>1.06463</v>
      </c>
      <c r="G36" s="5">
        <v>1.0630999999999999</v>
      </c>
      <c r="H36" s="8">
        <v>153</v>
      </c>
      <c r="I36" s="4">
        <f t="shared" si="0"/>
        <v>1</v>
      </c>
      <c r="J36" s="4">
        <f t="shared" si="2"/>
        <v>22</v>
      </c>
      <c r="K36" s="9">
        <f t="shared" si="1"/>
        <v>0.6875</v>
      </c>
    </row>
    <row r="37" spans="1:11" ht="15" customHeight="1" x14ac:dyDescent="0.3">
      <c r="A37" s="4">
        <v>33</v>
      </c>
      <c r="B37" s="4" t="s">
        <v>79</v>
      </c>
      <c r="C37" s="4" t="s">
        <v>91</v>
      </c>
      <c r="D37" s="4" t="s">
        <v>90</v>
      </c>
      <c r="E37" s="4" t="s">
        <v>78</v>
      </c>
      <c r="F37" s="5">
        <v>82.553100000000001</v>
      </c>
      <c r="G37" s="5">
        <v>82.556899999999999</v>
      </c>
      <c r="H37" s="8">
        <v>3800</v>
      </c>
      <c r="I37" s="4">
        <f t="shared" si="0"/>
        <v>1</v>
      </c>
      <c r="J37" s="4">
        <f t="shared" si="2"/>
        <v>23</v>
      </c>
      <c r="K37" s="9">
        <f t="shared" si="1"/>
        <v>0.69696969696969702</v>
      </c>
    </row>
    <row r="38" spans="1:11" ht="15" customHeight="1" x14ac:dyDescent="0.3">
      <c r="A38" s="4">
        <v>34</v>
      </c>
      <c r="B38" s="4" t="s">
        <v>88</v>
      </c>
      <c r="C38" s="4" t="s">
        <v>83</v>
      </c>
      <c r="D38" s="4" t="s">
        <v>77</v>
      </c>
      <c r="E38" s="4" t="s">
        <v>78</v>
      </c>
      <c r="F38" s="5">
        <v>1.0643</v>
      </c>
      <c r="G38" s="5">
        <v>1.06311</v>
      </c>
      <c r="H38" s="8">
        <v>-119</v>
      </c>
      <c r="I38" s="4">
        <f t="shared" si="0"/>
        <v>0</v>
      </c>
      <c r="J38" s="4">
        <f t="shared" si="2"/>
        <v>23</v>
      </c>
      <c r="K38" s="9">
        <f t="shared" si="1"/>
        <v>0.67647058823529416</v>
      </c>
    </row>
    <row r="39" spans="1:11" ht="15" customHeight="1" x14ac:dyDescent="0.3">
      <c r="A39" s="4">
        <v>35</v>
      </c>
      <c r="B39" s="4" t="s">
        <v>75</v>
      </c>
      <c r="C39" s="4" t="s">
        <v>80</v>
      </c>
      <c r="D39" s="4" t="s">
        <v>90</v>
      </c>
      <c r="E39" s="4" t="s">
        <v>78</v>
      </c>
      <c r="F39" s="5">
        <v>147.97358</v>
      </c>
      <c r="G39" s="5">
        <v>147.97370000000001</v>
      </c>
      <c r="H39" s="8">
        <v>120</v>
      </c>
      <c r="I39" s="4">
        <f t="shared" si="0"/>
        <v>1</v>
      </c>
      <c r="J39" s="4">
        <f t="shared" si="2"/>
        <v>24</v>
      </c>
      <c r="K39" s="9">
        <f t="shared" si="1"/>
        <v>0.68571428571428572</v>
      </c>
    </row>
    <row r="40" spans="1:11" ht="15" customHeight="1" x14ac:dyDescent="0.3">
      <c r="A40" s="4">
        <v>36</v>
      </c>
      <c r="B40" s="4" t="s">
        <v>75</v>
      </c>
      <c r="C40" s="4" t="s">
        <v>92</v>
      </c>
      <c r="D40" s="4" t="s">
        <v>81</v>
      </c>
      <c r="E40" s="4" t="s">
        <v>82</v>
      </c>
      <c r="F40" s="5">
        <v>148.43283</v>
      </c>
      <c r="G40" s="5">
        <v>148.43416999999999</v>
      </c>
      <c r="H40" s="8">
        <v>-1340</v>
      </c>
      <c r="I40" s="4">
        <f t="shared" si="0"/>
        <v>0</v>
      </c>
      <c r="J40" s="4">
        <f t="shared" si="2"/>
        <v>24</v>
      </c>
      <c r="K40" s="9">
        <f t="shared" si="1"/>
        <v>0.66666666666666663</v>
      </c>
    </row>
    <row r="41" spans="1:11" ht="15" customHeight="1" x14ac:dyDescent="0.3">
      <c r="A41" s="4">
        <v>37</v>
      </c>
      <c r="B41" s="4" t="s">
        <v>87</v>
      </c>
      <c r="C41" s="4" t="s">
        <v>83</v>
      </c>
      <c r="D41" s="4" t="s">
        <v>90</v>
      </c>
      <c r="E41" s="4" t="s">
        <v>78</v>
      </c>
      <c r="F41" s="5">
        <v>0.67676999999999998</v>
      </c>
      <c r="G41" s="5">
        <v>0.67750999999999995</v>
      </c>
      <c r="H41" s="8">
        <v>74</v>
      </c>
      <c r="I41" s="4">
        <f t="shared" si="0"/>
        <v>1</v>
      </c>
      <c r="J41" s="4">
        <f t="shared" si="2"/>
        <v>25</v>
      </c>
      <c r="K41" s="9">
        <f t="shared" si="1"/>
        <v>0.67567567567567566</v>
      </c>
    </row>
    <row r="42" spans="1:11" ht="15" customHeight="1" x14ac:dyDescent="0.3">
      <c r="A42" s="4">
        <v>38</v>
      </c>
      <c r="B42" s="4" t="s">
        <v>87</v>
      </c>
      <c r="C42" s="4" t="s">
        <v>76</v>
      </c>
      <c r="D42" s="4" t="s">
        <v>81</v>
      </c>
      <c r="E42" s="4" t="s">
        <v>82</v>
      </c>
      <c r="F42" s="5">
        <v>0.69640999999999997</v>
      </c>
      <c r="G42" s="5">
        <v>0.69474999999999998</v>
      </c>
      <c r="H42" s="8">
        <v>166</v>
      </c>
      <c r="I42" s="4">
        <f t="shared" si="0"/>
        <v>1</v>
      </c>
      <c r="J42" s="4">
        <f t="shared" si="2"/>
        <v>26</v>
      </c>
      <c r="K42" s="9">
        <f t="shared" si="1"/>
        <v>0.68421052631578949</v>
      </c>
    </row>
    <row r="43" spans="1:11" ht="15" customHeight="1" x14ac:dyDescent="0.3">
      <c r="A43" s="4">
        <v>39</v>
      </c>
      <c r="B43" s="4" t="s">
        <v>79</v>
      </c>
      <c r="C43" s="4" t="s">
        <v>80</v>
      </c>
      <c r="D43" s="4" t="s">
        <v>90</v>
      </c>
      <c r="E43" s="4" t="s">
        <v>78</v>
      </c>
      <c r="F43" s="5">
        <v>82.638339999999999</v>
      </c>
      <c r="G43" s="5">
        <v>82.63767</v>
      </c>
      <c r="H43" s="8">
        <v>-670</v>
      </c>
      <c r="I43" s="4">
        <f t="shared" si="0"/>
        <v>0</v>
      </c>
      <c r="J43" s="4">
        <f t="shared" si="2"/>
        <v>26</v>
      </c>
      <c r="K43" s="9">
        <f t="shared" si="1"/>
        <v>0.66666666666666663</v>
      </c>
    </row>
    <row r="44" spans="1:11" ht="15" customHeight="1" x14ac:dyDescent="0.3">
      <c r="A44" s="4">
        <v>40</v>
      </c>
      <c r="B44" s="4" t="s">
        <v>79</v>
      </c>
      <c r="C44" s="4" t="s">
        <v>83</v>
      </c>
      <c r="D44" s="4" t="s">
        <v>90</v>
      </c>
      <c r="E44" s="4" t="s">
        <v>78</v>
      </c>
      <c r="F44" s="5">
        <v>82.720010000000002</v>
      </c>
      <c r="G44" s="5">
        <v>82.717860000000002</v>
      </c>
      <c r="H44" s="8">
        <v>-2150</v>
      </c>
      <c r="I44" s="4">
        <f t="shared" si="0"/>
        <v>0</v>
      </c>
      <c r="J44" s="4">
        <f t="shared" si="2"/>
        <v>26</v>
      </c>
      <c r="K44" s="9">
        <f t="shared" si="1"/>
        <v>0.65</v>
      </c>
    </row>
    <row r="47" spans="1:11" ht="15" customHeight="1" x14ac:dyDescent="0.3">
      <c r="A47" s="28" t="s">
        <v>121</v>
      </c>
      <c r="B47" s="28"/>
      <c r="C47" s="28"/>
    </row>
    <row r="48" spans="1:11" ht="15" customHeight="1" x14ac:dyDescent="0.3">
      <c r="A48" s="10" t="s">
        <v>93</v>
      </c>
      <c r="B48" s="11">
        <f>COUNT(A5:A44)</f>
        <v>40</v>
      </c>
    </row>
    <row r="49" spans="1:2" ht="15" customHeight="1" x14ac:dyDescent="0.3">
      <c r="A49" s="10" t="s">
        <v>94</v>
      </c>
      <c r="B49" s="11">
        <f>SUM(I5:I44)</f>
        <v>26</v>
      </c>
    </row>
    <row r="50" spans="1:2" ht="15" customHeight="1" x14ac:dyDescent="0.3">
      <c r="A50" s="10" t="s">
        <v>95</v>
      </c>
      <c r="B50" s="12">
        <f>B49/B48</f>
        <v>0.65</v>
      </c>
    </row>
    <row r="51" spans="1:2" ht="15" customHeight="1" x14ac:dyDescent="0.3">
      <c r="A51" s="10" t="s">
        <v>96</v>
      </c>
      <c r="B51" s="13">
        <f>AVERAGE(H5:H44)</f>
        <v>310.45</v>
      </c>
    </row>
    <row r="52" spans="1:2" ht="15" customHeight="1" x14ac:dyDescent="0.3">
      <c r="A52" s="10" t="s">
        <v>97</v>
      </c>
      <c r="B52" s="13">
        <f>SUMIF(H5:H44,"&gt;0")</f>
        <v>22001</v>
      </c>
    </row>
    <row r="53" spans="1:2" ht="15" customHeight="1" x14ac:dyDescent="0.3">
      <c r="A53" s="10" t="s">
        <v>98</v>
      </c>
      <c r="B53" s="13">
        <f>SUMIF(H5:H44,"&lt;0")</f>
        <v>-9583</v>
      </c>
    </row>
    <row r="54" spans="1:2" ht="15" customHeight="1" x14ac:dyDescent="0.3">
      <c r="A54" s="10" t="s">
        <v>99</v>
      </c>
      <c r="B54" s="14">
        <f>B52/ABS(B53)</f>
        <v>2.2958363769174581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Normal="100" workbookViewId="0">
      <selection activeCell="C18" sqref="C18"/>
    </sheetView>
  </sheetViews>
  <sheetFormatPr defaultColWidth="8.6640625" defaultRowHeight="14.4" x14ac:dyDescent="0.3"/>
  <cols>
    <col min="1" max="1" width="26" customWidth="1"/>
    <col min="2" max="2" width="22" customWidth="1"/>
    <col min="3" max="3" width="28" customWidth="1"/>
    <col min="4" max="4" width="16" customWidth="1"/>
    <col min="5" max="5" width="10" customWidth="1"/>
  </cols>
  <sheetData>
    <row r="1" spans="1:5" ht="17.25" customHeight="1" x14ac:dyDescent="0.3">
      <c r="A1" s="2" t="s">
        <v>100</v>
      </c>
      <c r="B1" s="2"/>
      <c r="C1" s="2"/>
      <c r="D1" s="2"/>
      <c r="E1" s="2"/>
    </row>
    <row r="2" spans="1:5" ht="15" customHeight="1" x14ac:dyDescent="0.3">
      <c r="A2" s="26"/>
      <c r="B2" s="26"/>
      <c r="C2" s="26"/>
      <c r="D2" s="26"/>
      <c r="E2" s="26"/>
    </row>
    <row r="4" spans="1:5" ht="15" customHeight="1" x14ac:dyDescent="0.3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10</v>
      </c>
    </row>
    <row r="5" spans="1:5" ht="15" customHeight="1" x14ac:dyDescent="0.3">
      <c r="A5" s="4" t="s">
        <v>105</v>
      </c>
      <c r="B5" s="15">
        <v>0.56000000000000005</v>
      </c>
      <c r="C5" s="16">
        <f>Trade_Validation!B50</f>
        <v>0.65</v>
      </c>
      <c r="D5" s="15">
        <v>0.56000000000000005</v>
      </c>
      <c r="E5" s="29"/>
    </row>
    <row r="6" spans="1:5" ht="15" customHeight="1" x14ac:dyDescent="0.3">
      <c r="A6" s="4" t="s">
        <v>106</v>
      </c>
      <c r="B6" s="17">
        <v>12.77</v>
      </c>
      <c r="C6" s="18">
        <f>Trade_Validation!B51</f>
        <v>310.45</v>
      </c>
      <c r="D6" s="19"/>
      <c r="E6" s="29"/>
    </row>
    <row r="7" spans="1:5" ht="15" customHeight="1" x14ac:dyDescent="0.3">
      <c r="A7" s="4" t="s">
        <v>107</v>
      </c>
      <c r="B7" s="20">
        <v>1.028</v>
      </c>
      <c r="C7" s="21">
        <f>Trade_Validation!B54</f>
        <v>2.2958363769174581</v>
      </c>
      <c r="D7" s="20">
        <v>1.03</v>
      </c>
      <c r="E7" s="29"/>
    </row>
    <row r="8" spans="1:5" ht="15" customHeight="1" x14ac:dyDescent="0.3">
      <c r="A8" s="4" t="s">
        <v>108</v>
      </c>
      <c r="B8" s="20">
        <v>0.14599999999999999</v>
      </c>
      <c r="C8" s="19"/>
      <c r="D8" s="20">
        <v>0.12</v>
      </c>
      <c r="E8" s="19"/>
    </row>
    <row r="9" spans="1:5" ht="15" customHeight="1" x14ac:dyDescent="0.3">
      <c r="A9" s="4" t="s">
        <v>109</v>
      </c>
      <c r="B9" s="22">
        <f>RSI_Validation!J44</f>
        <v>52.841904035807602</v>
      </c>
      <c r="C9" s="22">
        <f>RSI_Validation!I44</f>
        <v>52.84190403580758</v>
      </c>
      <c r="D9" s="19"/>
      <c r="E9" s="19" t="str">
        <f>IF(ABS(B9-C9)&lt;0.1,"OK","CHECK")</f>
        <v>OK</v>
      </c>
    </row>
    <row r="12" spans="1:5" ht="15" customHeight="1" x14ac:dyDescent="0.3">
      <c r="A12" s="11"/>
    </row>
    <row r="13" spans="1:5" ht="15" customHeight="1" x14ac:dyDescent="0.3">
      <c r="A13" s="26"/>
      <c r="B13" s="26"/>
      <c r="C13" s="26"/>
      <c r="D13" s="26"/>
      <c r="E13" s="26"/>
    </row>
    <row r="14" spans="1:5" ht="15" customHeight="1" x14ac:dyDescent="0.3">
      <c r="A14" s="26"/>
      <c r="B14" s="26"/>
      <c r="C14" s="26"/>
      <c r="D14" s="26"/>
      <c r="E14" s="26"/>
    </row>
    <row r="15" spans="1:5" ht="15" customHeight="1" x14ac:dyDescent="0.3">
      <c r="A15" s="26"/>
      <c r="B15" s="26"/>
      <c r="C15" s="26"/>
      <c r="D15" s="26"/>
      <c r="E15" s="26"/>
    </row>
    <row r="16" spans="1:5" ht="15" customHeight="1" x14ac:dyDescent="0.3">
      <c r="A16" s="26"/>
      <c r="B16" s="26"/>
      <c r="C16" s="26"/>
      <c r="D16" s="26"/>
      <c r="E16" s="26"/>
    </row>
  </sheetData>
  <mergeCells count="1">
    <mergeCell ref="A1:E1"/>
  </mergeCells>
  <conditionalFormatting sqref="E5:E9">
    <cfRule type="cellIs" dxfId="1" priority="2" operator="equal">
      <formula>"OK"</formula>
    </cfRule>
    <cfRule type="cellIs" dxfId="0" priority="3" operator="equal">
      <formula>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5"/>
  <sheetViews>
    <sheetView zoomScaleNormal="100" workbookViewId="0">
      <pane ySplit="3" topLeftCell="A29" activePane="bottomLeft" state="frozen"/>
      <selection pane="bottomLeft" activeCell="B43" sqref="B43"/>
    </sheetView>
  </sheetViews>
  <sheetFormatPr defaultColWidth="8.6640625" defaultRowHeight="14.4" x14ac:dyDescent="0.3"/>
  <cols>
    <col min="1" max="1" width="10" customWidth="1"/>
    <col min="2" max="2" width="14" customWidth="1"/>
    <col min="3" max="3" width="12" customWidth="1"/>
    <col min="4" max="4" width="10" customWidth="1"/>
    <col min="5" max="7" width="12" customWidth="1"/>
    <col min="8" max="8" width="10" customWidth="1"/>
  </cols>
  <sheetData>
    <row r="1" spans="1:12" ht="17.25" customHeight="1" x14ac:dyDescent="0.3">
      <c r="A1" s="27" t="s">
        <v>110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" customHeight="1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4" spans="1:12" ht="15" customHeight="1" x14ac:dyDescent="0.3">
      <c r="A4" s="1" t="s">
        <v>111</v>
      </c>
      <c r="B4" s="1"/>
      <c r="C4" s="1"/>
      <c r="D4" s="1"/>
      <c r="E4" s="1"/>
      <c r="F4" s="1"/>
      <c r="G4" s="1"/>
      <c r="H4" s="1"/>
    </row>
    <row r="5" spans="1:12" ht="15" customHeight="1" x14ac:dyDescent="0.3">
      <c r="A5" s="3" t="s">
        <v>64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112</v>
      </c>
    </row>
    <row r="6" spans="1:12" ht="15" customHeight="1" x14ac:dyDescent="0.3">
      <c r="A6" s="4">
        <v>6</v>
      </c>
      <c r="B6" s="4" t="s">
        <v>89</v>
      </c>
      <c r="C6" s="4" t="s">
        <v>77</v>
      </c>
      <c r="D6" s="4" t="s">
        <v>78</v>
      </c>
      <c r="E6" s="5">
        <v>1.1087400000000001</v>
      </c>
      <c r="F6" s="5">
        <v>1.10988</v>
      </c>
      <c r="G6" s="8">
        <v>114</v>
      </c>
      <c r="H6" s="4">
        <f t="shared" ref="H6:H38" si="0">IF(G6&gt;0,1,0)</f>
        <v>1</v>
      </c>
    </row>
    <row r="7" spans="1:12" ht="15" customHeight="1" x14ac:dyDescent="0.3">
      <c r="A7" s="4">
        <v>11</v>
      </c>
      <c r="B7" s="4" t="s">
        <v>76</v>
      </c>
      <c r="C7" s="4" t="s">
        <v>90</v>
      </c>
      <c r="D7" s="4" t="s">
        <v>78</v>
      </c>
      <c r="E7" s="5">
        <v>1.07416</v>
      </c>
      <c r="F7" s="5">
        <v>1.0758799999999999</v>
      </c>
      <c r="G7" s="8">
        <v>172</v>
      </c>
      <c r="H7" s="4">
        <f t="shared" si="0"/>
        <v>1</v>
      </c>
    </row>
    <row r="8" spans="1:12" ht="15" customHeight="1" x14ac:dyDescent="0.3">
      <c r="A8" s="4">
        <v>21</v>
      </c>
      <c r="B8" s="4" t="s">
        <v>91</v>
      </c>
      <c r="C8" s="4" t="s">
        <v>77</v>
      </c>
      <c r="D8" s="4" t="s">
        <v>78</v>
      </c>
      <c r="E8" s="5">
        <v>1.1010800000000001</v>
      </c>
      <c r="F8" s="5">
        <v>1.10172</v>
      </c>
      <c r="G8" s="8">
        <v>64</v>
      </c>
      <c r="H8" s="4">
        <f t="shared" si="0"/>
        <v>1</v>
      </c>
    </row>
    <row r="9" spans="1:12" ht="15" customHeight="1" x14ac:dyDescent="0.3">
      <c r="A9" s="4">
        <v>30</v>
      </c>
      <c r="B9" s="4" t="s">
        <v>89</v>
      </c>
      <c r="C9" s="4" t="s">
        <v>77</v>
      </c>
      <c r="D9" s="4" t="s">
        <v>78</v>
      </c>
      <c r="E9" s="5">
        <v>1.08206</v>
      </c>
      <c r="F9" s="5">
        <v>1.08453</v>
      </c>
      <c r="G9" s="8">
        <v>247</v>
      </c>
      <c r="H9" s="4">
        <f t="shared" si="0"/>
        <v>1</v>
      </c>
    </row>
    <row r="10" spans="1:12" ht="15" customHeight="1" x14ac:dyDescent="0.3">
      <c r="A10" s="4">
        <v>31</v>
      </c>
      <c r="B10" s="4" t="s">
        <v>80</v>
      </c>
      <c r="C10" s="4" t="s">
        <v>90</v>
      </c>
      <c r="D10" s="4" t="s">
        <v>78</v>
      </c>
      <c r="E10" s="5">
        <v>1.0982099999999999</v>
      </c>
      <c r="F10" s="5">
        <v>1.0992299999999999</v>
      </c>
      <c r="G10" s="8">
        <v>102</v>
      </c>
      <c r="H10" s="4">
        <f t="shared" si="0"/>
        <v>1</v>
      </c>
    </row>
    <row r="11" spans="1:12" ht="15" customHeight="1" x14ac:dyDescent="0.3">
      <c r="A11" s="4">
        <v>32</v>
      </c>
      <c r="B11" s="4" t="s">
        <v>80</v>
      </c>
      <c r="C11" s="4" t="s">
        <v>86</v>
      </c>
      <c r="D11" s="4" t="s">
        <v>82</v>
      </c>
      <c r="E11" s="5">
        <v>1.06463</v>
      </c>
      <c r="F11" s="5">
        <v>1.0630999999999999</v>
      </c>
      <c r="G11" s="8">
        <v>153</v>
      </c>
      <c r="H11" s="4">
        <f t="shared" si="0"/>
        <v>1</v>
      </c>
    </row>
    <row r="12" spans="1:12" ht="15" customHeight="1" x14ac:dyDescent="0.3">
      <c r="A12" s="4">
        <v>34</v>
      </c>
      <c r="B12" s="4" t="s">
        <v>83</v>
      </c>
      <c r="C12" s="4" t="s">
        <v>77</v>
      </c>
      <c r="D12" s="4" t="s">
        <v>78</v>
      </c>
      <c r="E12" s="5">
        <v>1.0643</v>
      </c>
      <c r="F12" s="5">
        <v>1.06311</v>
      </c>
      <c r="G12" s="8">
        <v>-119</v>
      </c>
      <c r="H12" s="4">
        <f t="shared" si="0"/>
        <v>0</v>
      </c>
    </row>
    <row r="13" spans="1:12" ht="15" customHeight="1" x14ac:dyDescent="0.3">
      <c r="A13" s="4">
        <v>51</v>
      </c>
      <c r="B13" s="4" t="s">
        <v>83</v>
      </c>
      <c r="C13" s="4" t="s">
        <v>86</v>
      </c>
      <c r="D13" s="4" t="s">
        <v>82</v>
      </c>
      <c r="E13" s="5">
        <v>1.0935900000000001</v>
      </c>
      <c r="F13" s="5">
        <v>1.09554</v>
      </c>
      <c r="G13" s="8">
        <v>-195</v>
      </c>
      <c r="H13" s="4">
        <f t="shared" si="0"/>
        <v>0</v>
      </c>
    </row>
    <row r="14" spans="1:12" ht="15" customHeight="1" x14ac:dyDescent="0.3">
      <c r="A14" s="4">
        <v>56</v>
      </c>
      <c r="B14" s="4" t="s">
        <v>89</v>
      </c>
      <c r="C14" s="4" t="s">
        <v>90</v>
      </c>
      <c r="D14" s="4" t="s">
        <v>78</v>
      </c>
      <c r="E14" s="5">
        <v>1.07145</v>
      </c>
      <c r="F14" s="5">
        <v>1.0755999999999999</v>
      </c>
      <c r="G14" s="8">
        <v>415</v>
      </c>
      <c r="H14" s="4">
        <f t="shared" si="0"/>
        <v>1</v>
      </c>
    </row>
    <row r="15" spans="1:12" ht="15" customHeight="1" x14ac:dyDescent="0.3">
      <c r="A15" s="4">
        <v>70</v>
      </c>
      <c r="B15" s="4" t="s">
        <v>76</v>
      </c>
      <c r="C15" s="4" t="s">
        <v>90</v>
      </c>
      <c r="D15" s="4" t="s">
        <v>78</v>
      </c>
      <c r="E15" s="5">
        <v>1.05697</v>
      </c>
      <c r="F15" s="5">
        <v>1.0584800000000001</v>
      </c>
      <c r="G15" s="8">
        <v>151</v>
      </c>
      <c r="H15" s="4">
        <f t="shared" si="0"/>
        <v>1</v>
      </c>
    </row>
    <row r="16" spans="1:12" ht="15" customHeight="1" x14ac:dyDescent="0.3">
      <c r="A16" s="4">
        <v>75</v>
      </c>
      <c r="B16" s="4" t="s">
        <v>85</v>
      </c>
      <c r="C16" s="4" t="s">
        <v>81</v>
      </c>
      <c r="D16" s="4" t="s">
        <v>82</v>
      </c>
      <c r="E16" s="5">
        <v>1.1023000000000001</v>
      </c>
      <c r="F16" s="5">
        <v>1.1012500000000001</v>
      </c>
      <c r="G16" s="8">
        <v>105</v>
      </c>
      <c r="H16" s="4">
        <f t="shared" si="0"/>
        <v>1</v>
      </c>
    </row>
    <row r="17" spans="1:8" ht="15" customHeight="1" x14ac:dyDescent="0.3">
      <c r="A17" s="4">
        <v>76</v>
      </c>
      <c r="B17" s="4" t="s">
        <v>92</v>
      </c>
      <c r="C17" s="4" t="s">
        <v>81</v>
      </c>
      <c r="D17" s="4" t="s">
        <v>82</v>
      </c>
      <c r="E17" s="5">
        <v>1.0834999999999999</v>
      </c>
      <c r="F17" s="5">
        <v>1.08626</v>
      </c>
      <c r="G17" s="8">
        <v>-276</v>
      </c>
      <c r="H17" s="4">
        <f t="shared" si="0"/>
        <v>0</v>
      </c>
    </row>
    <row r="18" spans="1:8" ht="15" customHeight="1" x14ac:dyDescent="0.3">
      <c r="A18" s="4">
        <v>86</v>
      </c>
      <c r="B18" s="4" t="s">
        <v>85</v>
      </c>
      <c r="C18" s="4" t="s">
        <v>90</v>
      </c>
      <c r="D18" s="4" t="s">
        <v>78</v>
      </c>
      <c r="E18" s="5">
        <v>1.0725899999999999</v>
      </c>
      <c r="F18" s="5">
        <v>1.0708200000000001</v>
      </c>
      <c r="G18" s="8">
        <v>-177</v>
      </c>
      <c r="H18" s="4">
        <f t="shared" si="0"/>
        <v>0</v>
      </c>
    </row>
    <row r="19" spans="1:8" ht="15" customHeight="1" x14ac:dyDescent="0.3">
      <c r="A19" s="4">
        <v>91</v>
      </c>
      <c r="B19" s="4" t="s">
        <v>80</v>
      </c>
      <c r="C19" s="4" t="s">
        <v>86</v>
      </c>
      <c r="D19" s="4" t="s">
        <v>82</v>
      </c>
      <c r="E19" s="5">
        <v>1.0970800000000001</v>
      </c>
      <c r="F19" s="5">
        <v>1.1003400000000001</v>
      </c>
      <c r="G19" s="8">
        <v>-326</v>
      </c>
      <c r="H19" s="4">
        <f t="shared" si="0"/>
        <v>0</v>
      </c>
    </row>
    <row r="20" spans="1:8" ht="15" customHeight="1" x14ac:dyDescent="0.3">
      <c r="A20" s="4">
        <v>98</v>
      </c>
      <c r="B20" s="4" t="s">
        <v>92</v>
      </c>
      <c r="C20" s="4" t="s">
        <v>81</v>
      </c>
      <c r="D20" s="4" t="s">
        <v>82</v>
      </c>
      <c r="E20" s="5">
        <v>1.11286</v>
      </c>
      <c r="F20" s="5">
        <v>1.11212</v>
      </c>
      <c r="G20" s="8">
        <v>74</v>
      </c>
      <c r="H20" s="4">
        <f t="shared" si="0"/>
        <v>1</v>
      </c>
    </row>
    <row r="21" spans="1:8" ht="15" customHeight="1" x14ac:dyDescent="0.3">
      <c r="A21" s="4">
        <v>101</v>
      </c>
      <c r="B21" s="4" t="s">
        <v>89</v>
      </c>
      <c r="C21" s="4" t="s">
        <v>86</v>
      </c>
      <c r="D21" s="4" t="s">
        <v>82</v>
      </c>
      <c r="E21" s="5">
        <v>1.0939700000000001</v>
      </c>
      <c r="F21" s="5">
        <v>1.0931599999999999</v>
      </c>
      <c r="G21" s="8">
        <v>81</v>
      </c>
      <c r="H21" s="4">
        <f t="shared" si="0"/>
        <v>1</v>
      </c>
    </row>
    <row r="22" spans="1:8" ht="15" customHeight="1" x14ac:dyDescent="0.3">
      <c r="A22" s="4">
        <v>102</v>
      </c>
      <c r="B22" s="4" t="s">
        <v>83</v>
      </c>
      <c r="C22" s="4" t="s">
        <v>77</v>
      </c>
      <c r="D22" s="4" t="s">
        <v>78</v>
      </c>
      <c r="E22" s="5">
        <v>1.05843</v>
      </c>
      <c r="F22" s="5">
        <v>1.06012</v>
      </c>
      <c r="G22" s="8">
        <v>169</v>
      </c>
      <c r="H22" s="4">
        <f t="shared" si="0"/>
        <v>1</v>
      </c>
    </row>
    <row r="23" spans="1:8" ht="15" customHeight="1" x14ac:dyDescent="0.3">
      <c r="A23" s="4">
        <v>106</v>
      </c>
      <c r="B23" s="4" t="s">
        <v>92</v>
      </c>
      <c r="C23" s="4" t="s">
        <v>77</v>
      </c>
      <c r="D23" s="4" t="s">
        <v>78</v>
      </c>
      <c r="E23" s="5">
        <v>1.0606</v>
      </c>
      <c r="F23" s="5">
        <v>1.05799</v>
      </c>
      <c r="G23" s="8">
        <v>-261</v>
      </c>
      <c r="H23" s="4">
        <f t="shared" si="0"/>
        <v>0</v>
      </c>
    </row>
    <row r="24" spans="1:8" ht="15" customHeight="1" x14ac:dyDescent="0.3">
      <c r="A24" s="4">
        <v>109</v>
      </c>
      <c r="B24" s="4" t="s">
        <v>85</v>
      </c>
      <c r="C24" s="4" t="s">
        <v>90</v>
      </c>
      <c r="D24" s="4" t="s">
        <v>78</v>
      </c>
      <c r="E24" s="5">
        <v>1.0581499999999999</v>
      </c>
      <c r="F24" s="5">
        <v>1.0557799999999999</v>
      </c>
      <c r="G24" s="8">
        <v>-237</v>
      </c>
      <c r="H24" s="4">
        <f t="shared" si="0"/>
        <v>0</v>
      </c>
    </row>
    <row r="25" spans="1:8" ht="15" customHeight="1" x14ac:dyDescent="0.3">
      <c r="A25" s="4">
        <v>110</v>
      </c>
      <c r="B25" s="4" t="s">
        <v>92</v>
      </c>
      <c r="C25" s="4" t="s">
        <v>81</v>
      </c>
      <c r="D25" s="4" t="s">
        <v>82</v>
      </c>
      <c r="E25" s="5">
        <v>1.07074</v>
      </c>
      <c r="F25" s="5">
        <v>1.07362</v>
      </c>
      <c r="G25" s="8">
        <v>-288</v>
      </c>
      <c r="H25" s="4">
        <f t="shared" si="0"/>
        <v>0</v>
      </c>
    </row>
    <row r="26" spans="1:8" ht="15" customHeight="1" x14ac:dyDescent="0.3">
      <c r="A26" s="4">
        <v>114</v>
      </c>
      <c r="B26" s="4" t="s">
        <v>92</v>
      </c>
      <c r="C26" s="4" t="s">
        <v>77</v>
      </c>
      <c r="D26" s="4" t="s">
        <v>78</v>
      </c>
      <c r="E26" s="5">
        <v>1.06044</v>
      </c>
      <c r="F26" s="5">
        <v>1.05304</v>
      </c>
      <c r="G26" s="8">
        <v>-740</v>
      </c>
      <c r="H26" s="4">
        <f t="shared" si="0"/>
        <v>0</v>
      </c>
    </row>
    <row r="27" spans="1:8" ht="15" customHeight="1" x14ac:dyDescent="0.3">
      <c r="A27" s="4">
        <v>115</v>
      </c>
      <c r="B27" s="4" t="s">
        <v>91</v>
      </c>
      <c r="C27" s="4" t="s">
        <v>77</v>
      </c>
      <c r="D27" s="4" t="s">
        <v>78</v>
      </c>
      <c r="E27" s="5">
        <v>1.0508999999999999</v>
      </c>
      <c r="F27" s="5">
        <v>1.0521799999999999</v>
      </c>
      <c r="G27" s="8">
        <v>128</v>
      </c>
      <c r="H27" s="4">
        <f t="shared" si="0"/>
        <v>1</v>
      </c>
    </row>
    <row r="28" spans="1:8" ht="15" customHeight="1" x14ac:dyDescent="0.3">
      <c r="A28" s="4">
        <v>119</v>
      </c>
      <c r="B28" s="4" t="s">
        <v>83</v>
      </c>
      <c r="C28" s="4" t="s">
        <v>77</v>
      </c>
      <c r="D28" s="4" t="s">
        <v>78</v>
      </c>
      <c r="E28" s="5">
        <v>1.0510200000000001</v>
      </c>
      <c r="F28" s="5">
        <v>1.05291</v>
      </c>
      <c r="G28" s="8">
        <v>189</v>
      </c>
      <c r="H28" s="4">
        <f t="shared" si="0"/>
        <v>1</v>
      </c>
    </row>
    <row r="29" spans="1:8" ht="15" customHeight="1" x14ac:dyDescent="0.3">
      <c r="A29" s="4">
        <v>126</v>
      </c>
      <c r="B29" s="4" t="s">
        <v>80</v>
      </c>
      <c r="C29" s="4" t="s">
        <v>86</v>
      </c>
      <c r="D29" s="4" t="s">
        <v>82</v>
      </c>
      <c r="E29" s="5">
        <v>1.06189</v>
      </c>
      <c r="F29" s="5">
        <v>1.0576399999999999</v>
      </c>
      <c r="G29" s="8">
        <v>425</v>
      </c>
      <c r="H29" s="4">
        <f t="shared" si="0"/>
        <v>1</v>
      </c>
    </row>
    <row r="30" spans="1:8" ht="15" customHeight="1" x14ac:dyDescent="0.3">
      <c r="A30" s="4">
        <v>127</v>
      </c>
      <c r="B30" s="4" t="s">
        <v>89</v>
      </c>
      <c r="C30" s="4" t="s">
        <v>77</v>
      </c>
      <c r="D30" s="4" t="s">
        <v>78</v>
      </c>
      <c r="E30" s="5">
        <v>1.0541400000000001</v>
      </c>
      <c r="F30" s="5">
        <v>1.05766</v>
      </c>
      <c r="G30" s="8">
        <v>352</v>
      </c>
      <c r="H30" s="4">
        <f t="shared" si="0"/>
        <v>1</v>
      </c>
    </row>
    <row r="31" spans="1:8" ht="15" customHeight="1" x14ac:dyDescent="0.3">
      <c r="A31" s="4">
        <v>134</v>
      </c>
      <c r="B31" s="4" t="s">
        <v>76</v>
      </c>
      <c r="C31" s="4" t="s">
        <v>90</v>
      </c>
      <c r="D31" s="4" t="s">
        <v>78</v>
      </c>
      <c r="E31" s="5">
        <v>1.1184799999999999</v>
      </c>
      <c r="F31" s="5">
        <v>1.1188199999999999</v>
      </c>
      <c r="G31" s="8">
        <v>34</v>
      </c>
      <c r="H31" s="4">
        <f t="shared" si="0"/>
        <v>1</v>
      </c>
    </row>
    <row r="32" spans="1:8" ht="15" customHeight="1" x14ac:dyDescent="0.3">
      <c r="A32" s="4">
        <v>136</v>
      </c>
      <c r="B32" s="4" t="s">
        <v>85</v>
      </c>
      <c r="C32" s="4" t="s">
        <v>86</v>
      </c>
      <c r="D32" s="4" t="s">
        <v>82</v>
      </c>
      <c r="E32" s="5">
        <v>1.1123099999999999</v>
      </c>
      <c r="F32" s="5">
        <v>1.10792</v>
      </c>
      <c r="G32" s="8">
        <v>439</v>
      </c>
      <c r="H32" s="4">
        <f t="shared" si="0"/>
        <v>1</v>
      </c>
    </row>
    <row r="33" spans="1:8" ht="15" customHeight="1" x14ac:dyDescent="0.3">
      <c r="A33" s="4">
        <v>139</v>
      </c>
      <c r="B33" s="4" t="s">
        <v>80</v>
      </c>
      <c r="C33" s="4" t="s">
        <v>86</v>
      </c>
      <c r="D33" s="4" t="s">
        <v>82</v>
      </c>
      <c r="E33" s="5">
        <v>1.0748800000000001</v>
      </c>
      <c r="F33" s="5">
        <v>1.0752699999999999</v>
      </c>
      <c r="G33" s="8">
        <v>-39</v>
      </c>
      <c r="H33" s="4">
        <f t="shared" si="0"/>
        <v>0</v>
      </c>
    </row>
    <row r="34" spans="1:8" ht="15" customHeight="1" x14ac:dyDescent="0.3">
      <c r="A34" s="4">
        <v>142</v>
      </c>
      <c r="B34" s="4" t="s">
        <v>85</v>
      </c>
      <c r="C34" s="4" t="s">
        <v>77</v>
      </c>
      <c r="D34" s="4" t="s">
        <v>78</v>
      </c>
      <c r="E34" s="5">
        <v>1.07887</v>
      </c>
      <c r="F34" s="5">
        <v>1.0771999999999999</v>
      </c>
      <c r="G34" s="8">
        <v>-167</v>
      </c>
      <c r="H34" s="4">
        <f t="shared" si="0"/>
        <v>0</v>
      </c>
    </row>
    <row r="35" spans="1:8" ht="15" customHeight="1" x14ac:dyDescent="0.3">
      <c r="A35" s="4">
        <v>144</v>
      </c>
      <c r="B35" s="4" t="s">
        <v>92</v>
      </c>
      <c r="C35" s="4" t="s">
        <v>86</v>
      </c>
      <c r="D35" s="4" t="s">
        <v>82</v>
      </c>
      <c r="E35" s="5">
        <v>1.0790900000000001</v>
      </c>
      <c r="F35" s="5">
        <v>1.0835900000000001</v>
      </c>
      <c r="G35" s="8">
        <v>-450</v>
      </c>
      <c r="H35" s="4">
        <f t="shared" si="0"/>
        <v>0</v>
      </c>
    </row>
    <row r="36" spans="1:8" ht="15" customHeight="1" x14ac:dyDescent="0.3">
      <c r="A36" s="4">
        <v>146</v>
      </c>
      <c r="B36" s="4" t="s">
        <v>89</v>
      </c>
      <c r="C36" s="4" t="s">
        <v>77</v>
      </c>
      <c r="D36" s="4" t="s">
        <v>78</v>
      </c>
      <c r="E36" s="5">
        <v>1.0587800000000001</v>
      </c>
      <c r="F36" s="5">
        <v>1.0558799999999999</v>
      </c>
      <c r="G36" s="8">
        <v>-290</v>
      </c>
      <c r="H36" s="4">
        <f t="shared" si="0"/>
        <v>0</v>
      </c>
    </row>
    <row r="37" spans="1:8" ht="15" customHeight="1" x14ac:dyDescent="0.3">
      <c r="A37" s="4">
        <v>147</v>
      </c>
      <c r="B37" s="4" t="s">
        <v>85</v>
      </c>
      <c r="C37" s="4" t="s">
        <v>77</v>
      </c>
      <c r="D37" s="4" t="s">
        <v>78</v>
      </c>
      <c r="E37" s="5">
        <v>1.11032</v>
      </c>
      <c r="F37" s="5">
        <v>1.1133299999999999</v>
      </c>
      <c r="G37" s="8">
        <v>301</v>
      </c>
      <c r="H37" s="4">
        <f t="shared" si="0"/>
        <v>1</v>
      </c>
    </row>
    <row r="38" spans="1:8" ht="15" customHeight="1" x14ac:dyDescent="0.3">
      <c r="A38" s="4">
        <v>149</v>
      </c>
      <c r="B38" s="4" t="s">
        <v>92</v>
      </c>
      <c r="C38" s="4" t="s">
        <v>81</v>
      </c>
      <c r="D38" s="4" t="s">
        <v>82</v>
      </c>
      <c r="E38" s="5">
        <v>1.0639099999999999</v>
      </c>
      <c r="F38" s="5">
        <v>1.06616</v>
      </c>
      <c r="G38" s="8">
        <v>-225</v>
      </c>
      <c r="H38" s="4">
        <f t="shared" si="0"/>
        <v>0</v>
      </c>
    </row>
    <row r="40" spans="1:8" ht="15" customHeight="1" x14ac:dyDescent="0.3">
      <c r="A40" s="11" t="s">
        <v>113</v>
      </c>
      <c r="B40">
        <f>COUNT(A6:A38)</f>
        <v>33</v>
      </c>
    </row>
    <row r="41" spans="1:8" ht="15" customHeight="1" x14ac:dyDescent="0.3">
      <c r="A41" s="11" t="s">
        <v>105</v>
      </c>
      <c r="B41" s="23">
        <f>SUM(H6:H38)/COUNT(A6:A38)</f>
        <v>0.5757575757575758</v>
      </c>
    </row>
    <row r="42" spans="1:8" ht="15" customHeight="1" x14ac:dyDescent="0.3">
      <c r="A42" s="11" t="s">
        <v>114</v>
      </c>
      <c r="B42" s="24">
        <f>AVERAGE(G6:G38)</f>
        <v>-2.2727272727272729</v>
      </c>
    </row>
    <row r="43" spans="1:8" ht="15" customHeight="1" x14ac:dyDescent="0.3">
      <c r="A43" s="11" t="s">
        <v>115</v>
      </c>
      <c r="B43" s="24">
        <f>SUMIF(G6:G38,"&gt;0")</f>
        <v>3715</v>
      </c>
    </row>
    <row r="44" spans="1:8" ht="15" customHeight="1" x14ac:dyDescent="0.3">
      <c r="A44" s="11" t="s">
        <v>116</v>
      </c>
      <c r="B44" s="24">
        <f>SUMIF(G6:G38,"&lt;0")</f>
        <v>-3790</v>
      </c>
    </row>
    <row r="45" spans="1:8" ht="15" customHeight="1" x14ac:dyDescent="0.3">
      <c r="A45" s="11" t="s">
        <v>107</v>
      </c>
      <c r="B45" s="25">
        <f>B43/ABS(B44)</f>
        <v>0.98021108179419525</v>
      </c>
    </row>
    <row r="48" spans="1:8" ht="15" customHeight="1" x14ac:dyDescent="0.3">
      <c r="A48" s="1" t="s">
        <v>117</v>
      </c>
      <c r="B48" s="1"/>
      <c r="C48" s="1"/>
      <c r="D48" s="1"/>
      <c r="E48" s="1"/>
      <c r="F48" s="1"/>
      <c r="G48" s="1"/>
      <c r="H48" s="1"/>
    </row>
    <row r="49" spans="1:8" ht="15" customHeight="1" x14ac:dyDescent="0.3">
      <c r="A49" s="3" t="s">
        <v>64</v>
      </c>
      <c r="B49" s="3" t="s">
        <v>66</v>
      </c>
      <c r="C49" s="3" t="s">
        <v>67</v>
      </c>
      <c r="D49" s="3" t="s">
        <v>68</v>
      </c>
      <c r="E49" s="3" t="s">
        <v>69</v>
      </c>
      <c r="F49" s="3" t="s">
        <v>70</v>
      </c>
      <c r="G49" s="3" t="s">
        <v>71</v>
      </c>
      <c r="H49" s="3" t="s">
        <v>112</v>
      </c>
    </row>
    <row r="50" spans="1:8" ht="15" customHeight="1" x14ac:dyDescent="0.3">
      <c r="A50" s="4">
        <v>4</v>
      </c>
      <c r="B50" s="4" t="s">
        <v>85</v>
      </c>
      <c r="C50" s="4" t="s">
        <v>86</v>
      </c>
      <c r="D50" s="4" t="s">
        <v>82</v>
      </c>
      <c r="E50" s="5">
        <v>1.2363599999999999</v>
      </c>
      <c r="F50" s="5">
        <v>1.23434</v>
      </c>
      <c r="G50" s="8">
        <v>202</v>
      </c>
      <c r="H50" s="4">
        <f t="shared" ref="H50:H81" si="1">IF(G50&gt;0,1,0)</f>
        <v>1</v>
      </c>
    </row>
    <row r="51" spans="1:8" ht="15" customHeight="1" x14ac:dyDescent="0.3">
      <c r="A51" s="4">
        <v>9</v>
      </c>
      <c r="B51" s="4" t="s">
        <v>83</v>
      </c>
      <c r="C51" s="4" t="s">
        <v>77</v>
      </c>
      <c r="D51" s="4" t="s">
        <v>78</v>
      </c>
      <c r="E51" s="5">
        <v>1.2368600000000001</v>
      </c>
      <c r="F51" s="5">
        <v>1.24044</v>
      </c>
      <c r="G51" s="8">
        <v>358</v>
      </c>
      <c r="H51" s="4">
        <f t="shared" si="1"/>
        <v>1</v>
      </c>
    </row>
    <row r="52" spans="1:8" ht="15" customHeight="1" x14ac:dyDescent="0.3">
      <c r="A52" s="4">
        <v>12</v>
      </c>
      <c r="B52" s="4" t="s">
        <v>91</v>
      </c>
      <c r="C52" s="4" t="s">
        <v>81</v>
      </c>
      <c r="D52" s="4" t="s">
        <v>82</v>
      </c>
      <c r="E52" s="5">
        <v>1.2878499999999999</v>
      </c>
      <c r="F52" s="5">
        <v>1.2870600000000001</v>
      </c>
      <c r="G52" s="8">
        <v>79</v>
      </c>
      <c r="H52" s="4">
        <f t="shared" si="1"/>
        <v>1</v>
      </c>
    </row>
    <row r="53" spans="1:8" ht="15" customHeight="1" x14ac:dyDescent="0.3">
      <c r="A53" s="4">
        <v>15</v>
      </c>
      <c r="B53" s="4" t="s">
        <v>89</v>
      </c>
      <c r="C53" s="4" t="s">
        <v>77</v>
      </c>
      <c r="D53" s="4" t="s">
        <v>78</v>
      </c>
      <c r="E53" s="5">
        <v>1.22712</v>
      </c>
      <c r="F53" s="5">
        <v>1.2273799999999999</v>
      </c>
      <c r="G53" s="8">
        <v>26</v>
      </c>
      <c r="H53" s="4">
        <f t="shared" si="1"/>
        <v>1</v>
      </c>
    </row>
    <row r="54" spans="1:8" ht="15" customHeight="1" x14ac:dyDescent="0.3">
      <c r="A54" s="4">
        <v>24</v>
      </c>
      <c r="B54" s="4" t="s">
        <v>89</v>
      </c>
      <c r="C54" s="4" t="s">
        <v>90</v>
      </c>
      <c r="D54" s="4" t="s">
        <v>78</v>
      </c>
      <c r="E54" s="5">
        <v>1.2212099999999999</v>
      </c>
      <c r="F54" s="5">
        <v>1.22688</v>
      </c>
      <c r="G54" s="8">
        <v>567</v>
      </c>
      <c r="H54" s="4">
        <f t="shared" si="1"/>
        <v>1</v>
      </c>
    </row>
    <row r="55" spans="1:8" ht="15" customHeight="1" x14ac:dyDescent="0.3">
      <c r="A55" s="4">
        <v>25</v>
      </c>
      <c r="B55" s="4" t="s">
        <v>91</v>
      </c>
      <c r="C55" s="4" t="s">
        <v>81</v>
      </c>
      <c r="D55" s="4" t="s">
        <v>82</v>
      </c>
      <c r="E55" s="5">
        <v>1.2725599999999999</v>
      </c>
      <c r="F55" s="5">
        <v>1.27301</v>
      </c>
      <c r="G55" s="8">
        <v>-45</v>
      </c>
      <c r="H55" s="4">
        <f t="shared" si="1"/>
        <v>0</v>
      </c>
    </row>
    <row r="56" spans="1:8" ht="15" customHeight="1" x14ac:dyDescent="0.3">
      <c r="A56" s="4">
        <v>26</v>
      </c>
      <c r="B56" s="4" t="s">
        <v>85</v>
      </c>
      <c r="C56" s="4" t="s">
        <v>81</v>
      </c>
      <c r="D56" s="4" t="s">
        <v>82</v>
      </c>
      <c r="E56" s="5">
        <v>1.2283599999999999</v>
      </c>
      <c r="F56" s="5">
        <v>1.2255799999999999</v>
      </c>
      <c r="G56" s="8">
        <v>278</v>
      </c>
      <c r="H56" s="4">
        <f t="shared" si="1"/>
        <v>1</v>
      </c>
    </row>
    <row r="57" spans="1:8" ht="15" customHeight="1" x14ac:dyDescent="0.3">
      <c r="A57" s="4">
        <v>27</v>
      </c>
      <c r="B57" s="4" t="s">
        <v>85</v>
      </c>
      <c r="C57" s="4" t="s">
        <v>86</v>
      </c>
      <c r="D57" s="4" t="s">
        <v>82</v>
      </c>
      <c r="E57" s="5">
        <v>1.2371799999999999</v>
      </c>
      <c r="F57" s="5">
        <v>1.2365299999999999</v>
      </c>
      <c r="G57" s="8">
        <v>65</v>
      </c>
      <c r="H57" s="4">
        <f t="shared" si="1"/>
        <v>1</v>
      </c>
    </row>
    <row r="58" spans="1:8" ht="15" customHeight="1" x14ac:dyDescent="0.3">
      <c r="A58" s="4">
        <v>28</v>
      </c>
      <c r="B58" s="4" t="s">
        <v>89</v>
      </c>
      <c r="C58" s="4" t="s">
        <v>81</v>
      </c>
      <c r="D58" s="4" t="s">
        <v>82</v>
      </c>
      <c r="E58" s="5">
        <v>1.2282599999999999</v>
      </c>
      <c r="F58" s="5">
        <v>1.2301</v>
      </c>
      <c r="G58" s="8">
        <v>-184</v>
      </c>
      <c r="H58" s="4">
        <f t="shared" si="1"/>
        <v>0</v>
      </c>
    </row>
    <row r="59" spans="1:8" ht="15" customHeight="1" x14ac:dyDescent="0.3">
      <c r="A59" s="4">
        <v>42</v>
      </c>
      <c r="B59" s="4" t="s">
        <v>83</v>
      </c>
      <c r="C59" s="4" t="s">
        <v>77</v>
      </c>
      <c r="D59" s="4" t="s">
        <v>78</v>
      </c>
      <c r="E59" s="5">
        <v>1.2450399999999999</v>
      </c>
      <c r="F59" s="5">
        <v>1.2482899999999999</v>
      </c>
      <c r="G59" s="8">
        <v>325</v>
      </c>
      <c r="H59" s="4">
        <f t="shared" si="1"/>
        <v>1</v>
      </c>
    </row>
    <row r="60" spans="1:8" ht="15" customHeight="1" x14ac:dyDescent="0.3">
      <c r="A60" s="4">
        <v>49</v>
      </c>
      <c r="B60" s="4" t="s">
        <v>91</v>
      </c>
      <c r="C60" s="4" t="s">
        <v>77</v>
      </c>
      <c r="D60" s="4" t="s">
        <v>78</v>
      </c>
      <c r="E60" s="5">
        <v>1.2520199999999999</v>
      </c>
      <c r="F60" s="5">
        <v>1.2501</v>
      </c>
      <c r="G60" s="8">
        <v>-192</v>
      </c>
      <c r="H60" s="4">
        <f t="shared" si="1"/>
        <v>0</v>
      </c>
    </row>
    <row r="61" spans="1:8" ht="15" customHeight="1" x14ac:dyDescent="0.3">
      <c r="A61" s="4">
        <v>54</v>
      </c>
      <c r="B61" s="4" t="s">
        <v>85</v>
      </c>
      <c r="C61" s="4" t="s">
        <v>77</v>
      </c>
      <c r="D61" s="4" t="s">
        <v>78</v>
      </c>
      <c r="E61" s="5">
        <v>1.29586</v>
      </c>
      <c r="F61" s="5">
        <v>1.3010299999999999</v>
      </c>
      <c r="G61" s="8">
        <v>517</v>
      </c>
      <c r="H61" s="4">
        <f t="shared" si="1"/>
        <v>1</v>
      </c>
    </row>
    <row r="62" spans="1:8" ht="15" customHeight="1" x14ac:dyDescent="0.3">
      <c r="A62" s="4">
        <v>65</v>
      </c>
      <c r="B62" s="4" t="s">
        <v>76</v>
      </c>
      <c r="C62" s="4" t="s">
        <v>86</v>
      </c>
      <c r="D62" s="4" t="s">
        <v>82</v>
      </c>
      <c r="E62" s="5">
        <v>1.2392399999999999</v>
      </c>
      <c r="F62" s="5">
        <v>1.23611</v>
      </c>
      <c r="G62" s="8">
        <v>313</v>
      </c>
      <c r="H62" s="4">
        <f t="shared" si="1"/>
        <v>1</v>
      </c>
    </row>
    <row r="63" spans="1:8" ht="15" customHeight="1" x14ac:dyDescent="0.3">
      <c r="A63" s="4">
        <v>68</v>
      </c>
      <c r="B63" s="4" t="s">
        <v>83</v>
      </c>
      <c r="C63" s="4" t="s">
        <v>77</v>
      </c>
      <c r="D63" s="4" t="s">
        <v>78</v>
      </c>
      <c r="E63" s="5">
        <v>1.2814399999999999</v>
      </c>
      <c r="F63" s="5">
        <v>1.2849900000000001</v>
      </c>
      <c r="G63" s="8">
        <v>355</v>
      </c>
      <c r="H63" s="4">
        <f t="shared" si="1"/>
        <v>1</v>
      </c>
    </row>
    <row r="64" spans="1:8" ht="15" customHeight="1" x14ac:dyDescent="0.3">
      <c r="A64" s="4">
        <v>73</v>
      </c>
      <c r="B64" s="4" t="s">
        <v>89</v>
      </c>
      <c r="C64" s="4" t="s">
        <v>90</v>
      </c>
      <c r="D64" s="4" t="s">
        <v>78</v>
      </c>
      <c r="E64" s="5">
        <v>1.2741199999999999</v>
      </c>
      <c r="F64" s="5">
        <v>1.27932</v>
      </c>
      <c r="G64" s="8">
        <v>520</v>
      </c>
      <c r="H64" s="4">
        <f t="shared" si="1"/>
        <v>1</v>
      </c>
    </row>
    <row r="65" spans="1:8" ht="15" customHeight="1" x14ac:dyDescent="0.3">
      <c r="A65" s="4">
        <v>78</v>
      </c>
      <c r="B65" s="4" t="s">
        <v>89</v>
      </c>
      <c r="C65" s="4" t="s">
        <v>81</v>
      </c>
      <c r="D65" s="4" t="s">
        <v>82</v>
      </c>
      <c r="E65" s="5">
        <v>1.23397</v>
      </c>
      <c r="F65" s="5">
        <v>1.2325999999999999</v>
      </c>
      <c r="G65" s="8">
        <v>137</v>
      </c>
      <c r="H65" s="4">
        <f t="shared" si="1"/>
        <v>1</v>
      </c>
    </row>
    <row r="66" spans="1:8" ht="15" customHeight="1" x14ac:dyDescent="0.3">
      <c r="A66" s="4">
        <v>82</v>
      </c>
      <c r="B66" s="4" t="s">
        <v>83</v>
      </c>
      <c r="C66" s="4" t="s">
        <v>81</v>
      </c>
      <c r="D66" s="4" t="s">
        <v>82</v>
      </c>
      <c r="E66" s="5">
        <v>1.28051</v>
      </c>
      <c r="F66" s="5">
        <v>1.27769</v>
      </c>
      <c r="G66" s="8">
        <v>282</v>
      </c>
      <c r="H66" s="4">
        <f t="shared" si="1"/>
        <v>1</v>
      </c>
    </row>
    <row r="67" spans="1:8" ht="15" customHeight="1" x14ac:dyDescent="0.3">
      <c r="A67" s="4">
        <v>90</v>
      </c>
      <c r="B67" s="4" t="s">
        <v>89</v>
      </c>
      <c r="C67" s="4" t="s">
        <v>86</v>
      </c>
      <c r="D67" s="4" t="s">
        <v>82</v>
      </c>
      <c r="E67" s="5">
        <v>1.2571099999999999</v>
      </c>
      <c r="F67" s="5">
        <v>1.2560899999999999</v>
      </c>
      <c r="G67" s="8">
        <v>102</v>
      </c>
      <c r="H67" s="4">
        <f t="shared" si="1"/>
        <v>1</v>
      </c>
    </row>
    <row r="68" spans="1:8" ht="15" customHeight="1" x14ac:dyDescent="0.3">
      <c r="A68" s="4">
        <v>92</v>
      </c>
      <c r="B68" s="4" t="s">
        <v>85</v>
      </c>
      <c r="C68" s="4" t="s">
        <v>90</v>
      </c>
      <c r="D68" s="4" t="s">
        <v>78</v>
      </c>
      <c r="E68" s="5">
        <v>1.22956</v>
      </c>
      <c r="F68" s="5">
        <v>1.2331700000000001</v>
      </c>
      <c r="G68" s="8">
        <v>361</v>
      </c>
      <c r="H68" s="4">
        <f t="shared" si="1"/>
        <v>1</v>
      </c>
    </row>
    <row r="69" spans="1:8" ht="15" customHeight="1" x14ac:dyDescent="0.3">
      <c r="A69" s="4">
        <v>96</v>
      </c>
      <c r="B69" s="4" t="s">
        <v>83</v>
      </c>
      <c r="C69" s="4" t="s">
        <v>90</v>
      </c>
      <c r="D69" s="4" t="s">
        <v>78</v>
      </c>
      <c r="E69" s="5">
        <v>1.26685</v>
      </c>
      <c r="F69" s="5">
        <v>1.26512</v>
      </c>
      <c r="G69" s="8">
        <v>-173</v>
      </c>
      <c r="H69" s="4">
        <f t="shared" si="1"/>
        <v>0</v>
      </c>
    </row>
    <row r="70" spans="1:8" ht="15" customHeight="1" x14ac:dyDescent="0.3">
      <c r="A70" s="4">
        <v>99</v>
      </c>
      <c r="B70" s="4" t="s">
        <v>83</v>
      </c>
      <c r="C70" s="4" t="s">
        <v>77</v>
      </c>
      <c r="D70" s="4" t="s">
        <v>78</v>
      </c>
      <c r="E70" s="5">
        <v>1.2997300000000001</v>
      </c>
      <c r="F70" s="5">
        <v>1.3029599999999999</v>
      </c>
      <c r="G70" s="8">
        <v>323</v>
      </c>
      <c r="H70" s="4">
        <f t="shared" si="1"/>
        <v>1</v>
      </c>
    </row>
    <row r="71" spans="1:8" ht="15" customHeight="1" x14ac:dyDescent="0.3">
      <c r="A71" s="4">
        <v>111</v>
      </c>
      <c r="B71" s="4" t="s">
        <v>83</v>
      </c>
      <c r="C71" s="4" t="s">
        <v>81</v>
      </c>
      <c r="D71" s="4" t="s">
        <v>82</v>
      </c>
      <c r="E71" s="5">
        <v>1.26915</v>
      </c>
      <c r="F71" s="5">
        <v>1.2749200000000001</v>
      </c>
      <c r="G71" s="8">
        <v>-577</v>
      </c>
      <c r="H71" s="4">
        <f t="shared" si="1"/>
        <v>0</v>
      </c>
    </row>
    <row r="72" spans="1:8" ht="15" customHeight="1" x14ac:dyDescent="0.3">
      <c r="A72" s="4">
        <v>112</v>
      </c>
      <c r="B72" s="4" t="s">
        <v>92</v>
      </c>
      <c r="C72" s="4" t="s">
        <v>81</v>
      </c>
      <c r="D72" s="4" t="s">
        <v>82</v>
      </c>
      <c r="E72" s="5">
        <v>1.2932600000000001</v>
      </c>
      <c r="F72" s="5">
        <v>1.2922800000000001</v>
      </c>
      <c r="G72" s="8">
        <v>98</v>
      </c>
      <c r="H72" s="4">
        <f t="shared" si="1"/>
        <v>1</v>
      </c>
    </row>
    <row r="73" spans="1:8" ht="15" customHeight="1" x14ac:dyDescent="0.3">
      <c r="A73" s="4">
        <v>120</v>
      </c>
      <c r="B73" s="4" t="s">
        <v>83</v>
      </c>
      <c r="C73" s="4" t="s">
        <v>77</v>
      </c>
      <c r="D73" s="4" t="s">
        <v>78</v>
      </c>
      <c r="E73" s="5">
        <v>1.26573</v>
      </c>
      <c r="F73" s="5">
        <v>1.2647699999999999</v>
      </c>
      <c r="G73" s="8">
        <v>-96</v>
      </c>
      <c r="H73" s="4">
        <f t="shared" si="1"/>
        <v>0</v>
      </c>
    </row>
    <row r="74" spans="1:8" ht="15" customHeight="1" x14ac:dyDescent="0.3">
      <c r="A74" s="4">
        <v>122</v>
      </c>
      <c r="B74" s="4" t="s">
        <v>76</v>
      </c>
      <c r="C74" s="4" t="s">
        <v>86</v>
      </c>
      <c r="D74" s="4" t="s">
        <v>82</v>
      </c>
      <c r="E74" s="5">
        <v>1.2361800000000001</v>
      </c>
      <c r="F74" s="5">
        <v>1.2394000000000001</v>
      </c>
      <c r="G74" s="8">
        <v>-322</v>
      </c>
      <c r="H74" s="4">
        <f t="shared" si="1"/>
        <v>0</v>
      </c>
    </row>
    <row r="75" spans="1:8" ht="15" customHeight="1" x14ac:dyDescent="0.3">
      <c r="A75" s="4">
        <v>124</v>
      </c>
      <c r="B75" s="4" t="s">
        <v>85</v>
      </c>
      <c r="C75" s="4" t="s">
        <v>81</v>
      </c>
      <c r="D75" s="4" t="s">
        <v>82</v>
      </c>
      <c r="E75" s="5">
        <v>1.2659100000000001</v>
      </c>
      <c r="F75" s="5">
        <v>1.2675799999999999</v>
      </c>
      <c r="G75" s="8">
        <v>-167</v>
      </c>
      <c r="H75" s="4">
        <f t="shared" si="1"/>
        <v>0</v>
      </c>
    </row>
    <row r="76" spans="1:8" ht="15" customHeight="1" x14ac:dyDescent="0.3">
      <c r="A76" s="4">
        <v>128</v>
      </c>
      <c r="B76" s="4" t="s">
        <v>91</v>
      </c>
      <c r="C76" s="4" t="s">
        <v>81</v>
      </c>
      <c r="D76" s="4" t="s">
        <v>82</v>
      </c>
      <c r="E76" s="5">
        <v>1.22614</v>
      </c>
      <c r="F76" s="5">
        <v>1.2231700000000001</v>
      </c>
      <c r="G76" s="8">
        <v>297</v>
      </c>
      <c r="H76" s="4">
        <f t="shared" si="1"/>
        <v>1</v>
      </c>
    </row>
    <row r="77" spans="1:8" ht="15" customHeight="1" x14ac:dyDescent="0.3">
      <c r="A77" s="4">
        <v>129</v>
      </c>
      <c r="B77" s="4" t="s">
        <v>76</v>
      </c>
      <c r="C77" s="4" t="s">
        <v>81</v>
      </c>
      <c r="D77" s="4" t="s">
        <v>82</v>
      </c>
      <c r="E77" s="5">
        <v>1.2591699999999999</v>
      </c>
      <c r="F77" s="5">
        <v>1.2600499999999999</v>
      </c>
      <c r="G77" s="8">
        <v>-88</v>
      </c>
      <c r="H77" s="4">
        <f t="shared" si="1"/>
        <v>0</v>
      </c>
    </row>
    <row r="78" spans="1:8" ht="15" customHeight="1" x14ac:dyDescent="0.3">
      <c r="A78" s="4">
        <v>133</v>
      </c>
      <c r="B78" s="4" t="s">
        <v>76</v>
      </c>
      <c r="C78" s="4" t="s">
        <v>90</v>
      </c>
      <c r="D78" s="4" t="s">
        <v>78</v>
      </c>
      <c r="E78" s="5">
        <v>1.2459899999999999</v>
      </c>
      <c r="F78" s="5">
        <v>1.2465299999999999</v>
      </c>
      <c r="G78" s="8">
        <v>54</v>
      </c>
      <c r="H78" s="4">
        <f t="shared" si="1"/>
        <v>1</v>
      </c>
    </row>
    <row r="79" spans="1:8" ht="15" customHeight="1" x14ac:dyDescent="0.3">
      <c r="A79" s="4">
        <v>140</v>
      </c>
      <c r="B79" s="4" t="s">
        <v>92</v>
      </c>
      <c r="C79" s="4" t="s">
        <v>90</v>
      </c>
      <c r="D79" s="4" t="s">
        <v>78</v>
      </c>
      <c r="E79" s="5">
        <v>1.2395</v>
      </c>
      <c r="F79" s="5">
        <v>1.2459</v>
      </c>
      <c r="G79" s="8">
        <v>640</v>
      </c>
      <c r="H79" s="4">
        <f t="shared" si="1"/>
        <v>1</v>
      </c>
    </row>
    <row r="80" spans="1:8" ht="15" customHeight="1" x14ac:dyDescent="0.3">
      <c r="A80" s="4">
        <v>141</v>
      </c>
      <c r="B80" s="4" t="s">
        <v>85</v>
      </c>
      <c r="C80" s="4" t="s">
        <v>81</v>
      </c>
      <c r="D80" s="4" t="s">
        <v>82</v>
      </c>
      <c r="E80" s="5">
        <v>1.23681</v>
      </c>
      <c r="F80" s="5">
        <v>1.2330000000000001</v>
      </c>
      <c r="G80" s="8">
        <v>381</v>
      </c>
      <c r="H80" s="4">
        <f t="shared" si="1"/>
        <v>1</v>
      </c>
    </row>
    <row r="81" spans="1:8" ht="15" customHeight="1" x14ac:dyDescent="0.3">
      <c r="A81" s="4">
        <v>148</v>
      </c>
      <c r="B81" s="4" t="s">
        <v>80</v>
      </c>
      <c r="C81" s="4" t="s">
        <v>81</v>
      </c>
      <c r="D81" s="4" t="s">
        <v>82</v>
      </c>
      <c r="E81" s="5">
        <v>1.24366</v>
      </c>
      <c r="F81" s="5">
        <v>1.24291</v>
      </c>
      <c r="G81" s="8">
        <v>75</v>
      </c>
      <c r="H81" s="4">
        <f t="shared" si="1"/>
        <v>1</v>
      </c>
    </row>
    <row r="83" spans="1:8" ht="15" customHeight="1" x14ac:dyDescent="0.3">
      <c r="A83" s="11" t="s">
        <v>113</v>
      </c>
      <c r="B83">
        <f>COUNT(A50:A81)</f>
        <v>32</v>
      </c>
    </row>
    <row r="84" spans="1:8" ht="15" customHeight="1" x14ac:dyDescent="0.3">
      <c r="A84" s="11" t="s">
        <v>105</v>
      </c>
      <c r="B84" s="23">
        <f>SUM(H50:H81)/COUNT(A50:A81)</f>
        <v>0.71875</v>
      </c>
    </row>
    <row r="85" spans="1:8" ht="15" customHeight="1" x14ac:dyDescent="0.3">
      <c r="A85" s="11" t="s">
        <v>114</v>
      </c>
      <c r="B85" s="24">
        <f>AVERAGE(G50:G81)</f>
        <v>140.96875</v>
      </c>
    </row>
    <row r="86" spans="1:8" ht="15" customHeight="1" x14ac:dyDescent="0.3">
      <c r="A86" s="11" t="s">
        <v>115</v>
      </c>
      <c r="B86" s="24">
        <f>SUMIF(G50:G81,"&gt;0")</f>
        <v>6355</v>
      </c>
    </row>
    <row r="87" spans="1:8" ht="15" customHeight="1" x14ac:dyDescent="0.3">
      <c r="A87" s="11" t="s">
        <v>116</v>
      </c>
      <c r="B87" s="24">
        <f>SUMIF(G50:G81,"&lt;0")</f>
        <v>-1844</v>
      </c>
    </row>
    <row r="88" spans="1:8" ht="15" customHeight="1" x14ac:dyDescent="0.3">
      <c r="A88" s="11" t="s">
        <v>107</v>
      </c>
      <c r="B88" s="25">
        <f>B86/ABS(B87)</f>
        <v>3.4463123644251628</v>
      </c>
    </row>
    <row r="91" spans="1:8" ht="15" customHeight="1" x14ac:dyDescent="0.3">
      <c r="A91" s="1" t="s">
        <v>118</v>
      </c>
      <c r="B91" s="1"/>
      <c r="C91" s="1"/>
      <c r="D91" s="1"/>
      <c r="E91" s="1"/>
      <c r="F91" s="1"/>
      <c r="G91" s="1"/>
      <c r="H91" s="1"/>
    </row>
    <row r="92" spans="1:8" ht="15" customHeight="1" x14ac:dyDescent="0.3">
      <c r="A92" s="3" t="s">
        <v>64</v>
      </c>
      <c r="B92" s="3" t="s">
        <v>66</v>
      </c>
      <c r="C92" s="3" t="s">
        <v>67</v>
      </c>
      <c r="D92" s="3" t="s">
        <v>68</v>
      </c>
      <c r="E92" s="3" t="s">
        <v>69</v>
      </c>
      <c r="F92" s="3" t="s">
        <v>70</v>
      </c>
      <c r="G92" s="3" t="s">
        <v>71</v>
      </c>
      <c r="H92" s="3" t="s">
        <v>112</v>
      </c>
    </row>
    <row r="93" spans="1:8" ht="15" customHeight="1" x14ac:dyDescent="0.3">
      <c r="A93" s="4">
        <v>1</v>
      </c>
      <c r="B93" s="4" t="s">
        <v>76</v>
      </c>
      <c r="C93" s="4" t="s">
        <v>77</v>
      </c>
      <c r="D93" s="4" t="s">
        <v>78</v>
      </c>
      <c r="E93" s="5">
        <v>154.16999000000001</v>
      </c>
      <c r="F93" s="5">
        <v>154.17229</v>
      </c>
      <c r="G93" s="8">
        <v>2300</v>
      </c>
      <c r="H93" s="4">
        <f t="shared" ref="H93:H118" si="2">IF(G93&gt;0,1,0)</f>
        <v>1</v>
      </c>
    </row>
    <row r="94" spans="1:8" ht="15" customHeight="1" x14ac:dyDescent="0.3">
      <c r="A94" s="4">
        <v>3</v>
      </c>
      <c r="B94" s="4" t="s">
        <v>83</v>
      </c>
      <c r="C94" s="4" t="s">
        <v>77</v>
      </c>
      <c r="D94" s="4" t="s">
        <v>78</v>
      </c>
      <c r="E94" s="5">
        <v>150.56125</v>
      </c>
      <c r="F94" s="5">
        <v>150.56093000000001</v>
      </c>
      <c r="G94" s="8">
        <v>-320</v>
      </c>
      <c r="H94" s="4">
        <f t="shared" si="2"/>
        <v>0</v>
      </c>
    </row>
    <row r="95" spans="1:8" ht="15" customHeight="1" x14ac:dyDescent="0.3">
      <c r="A95" s="4">
        <v>7</v>
      </c>
      <c r="B95" s="4" t="s">
        <v>80</v>
      </c>
      <c r="C95" s="4" t="s">
        <v>81</v>
      </c>
      <c r="D95" s="4" t="s">
        <v>82</v>
      </c>
      <c r="E95" s="5">
        <v>140.74422000000001</v>
      </c>
      <c r="F95" s="5">
        <v>140.74573000000001</v>
      </c>
      <c r="G95" s="8">
        <v>-1510</v>
      </c>
      <c r="H95" s="4">
        <f t="shared" si="2"/>
        <v>0</v>
      </c>
    </row>
    <row r="96" spans="1:8" ht="15" customHeight="1" x14ac:dyDescent="0.3">
      <c r="A96" s="4">
        <v>10</v>
      </c>
      <c r="B96" s="4" t="s">
        <v>91</v>
      </c>
      <c r="C96" s="4" t="s">
        <v>77</v>
      </c>
      <c r="D96" s="4" t="s">
        <v>78</v>
      </c>
      <c r="E96" s="5">
        <v>151.24139</v>
      </c>
      <c r="F96" s="5">
        <v>151.24213</v>
      </c>
      <c r="G96" s="8">
        <v>740</v>
      </c>
      <c r="H96" s="4">
        <f t="shared" si="2"/>
        <v>1</v>
      </c>
    </row>
    <row r="97" spans="1:8" ht="15" customHeight="1" x14ac:dyDescent="0.3">
      <c r="A97" s="4">
        <v>16</v>
      </c>
      <c r="B97" s="4" t="s">
        <v>89</v>
      </c>
      <c r="C97" s="4" t="s">
        <v>86</v>
      </c>
      <c r="D97" s="4" t="s">
        <v>82</v>
      </c>
      <c r="E97" s="5">
        <v>140.92713000000001</v>
      </c>
      <c r="F97" s="5">
        <v>140.92624000000001</v>
      </c>
      <c r="G97" s="8">
        <v>890</v>
      </c>
      <c r="H97" s="4">
        <f t="shared" si="2"/>
        <v>1</v>
      </c>
    </row>
    <row r="98" spans="1:8" ht="15" customHeight="1" x14ac:dyDescent="0.3">
      <c r="A98" s="4">
        <v>18</v>
      </c>
      <c r="B98" s="4" t="s">
        <v>80</v>
      </c>
      <c r="C98" s="4" t="s">
        <v>86</v>
      </c>
      <c r="D98" s="4" t="s">
        <v>82</v>
      </c>
      <c r="E98" s="5">
        <v>149.71275</v>
      </c>
      <c r="F98" s="5">
        <v>149.71287000000001</v>
      </c>
      <c r="G98" s="8">
        <v>-120</v>
      </c>
      <c r="H98" s="4">
        <f t="shared" si="2"/>
        <v>0</v>
      </c>
    </row>
    <row r="99" spans="1:8" ht="15" customHeight="1" x14ac:dyDescent="0.3">
      <c r="A99" s="4">
        <v>20</v>
      </c>
      <c r="B99" s="4" t="s">
        <v>83</v>
      </c>
      <c r="C99" s="4" t="s">
        <v>90</v>
      </c>
      <c r="D99" s="4" t="s">
        <v>78</v>
      </c>
      <c r="E99" s="5">
        <v>145.35153</v>
      </c>
      <c r="F99" s="5">
        <v>145.35616999999999</v>
      </c>
      <c r="G99" s="8">
        <v>4640</v>
      </c>
      <c r="H99" s="4">
        <f t="shared" si="2"/>
        <v>1</v>
      </c>
    </row>
    <row r="100" spans="1:8" ht="15" customHeight="1" x14ac:dyDescent="0.3">
      <c r="A100" s="4">
        <v>23</v>
      </c>
      <c r="B100" s="4" t="s">
        <v>91</v>
      </c>
      <c r="C100" s="4" t="s">
        <v>81</v>
      </c>
      <c r="D100" s="4" t="s">
        <v>82</v>
      </c>
      <c r="E100" s="5">
        <v>151.00825</v>
      </c>
      <c r="F100" s="5">
        <v>151.00459000000001</v>
      </c>
      <c r="G100" s="8">
        <v>3660</v>
      </c>
      <c r="H100" s="4">
        <f t="shared" si="2"/>
        <v>1</v>
      </c>
    </row>
    <row r="101" spans="1:8" ht="15" customHeight="1" x14ac:dyDescent="0.3">
      <c r="A101" s="4">
        <v>35</v>
      </c>
      <c r="B101" s="4" t="s">
        <v>80</v>
      </c>
      <c r="C101" s="4" t="s">
        <v>90</v>
      </c>
      <c r="D101" s="4" t="s">
        <v>78</v>
      </c>
      <c r="E101" s="5">
        <v>147.97358</v>
      </c>
      <c r="F101" s="5">
        <v>147.97370000000001</v>
      </c>
      <c r="G101" s="8">
        <v>120</v>
      </c>
      <c r="H101" s="4">
        <f t="shared" si="2"/>
        <v>1</v>
      </c>
    </row>
    <row r="102" spans="1:8" ht="15" customHeight="1" x14ac:dyDescent="0.3">
      <c r="A102" s="4">
        <v>36</v>
      </c>
      <c r="B102" s="4" t="s">
        <v>92</v>
      </c>
      <c r="C102" s="4" t="s">
        <v>81</v>
      </c>
      <c r="D102" s="4" t="s">
        <v>82</v>
      </c>
      <c r="E102" s="5">
        <v>148.43283</v>
      </c>
      <c r="F102" s="5">
        <v>148.43416999999999</v>
      </c>
      <c r="G102" s="8">
        <v>-1340</v>
      </c>
      <c r="H102" s="4">
        <f t="shared" si="2"/>
        <v>0</v>
      </c>
    </row>
    <row r="103" spans="1:8" ht="15" customHeight="1" x14ac:dyDescent="0.3">
      <c r="A103" s="4">
        <v>46</v>
      </c>
      <c r="B103" s="4" t="s">
        <v>92</v>
      </c>
      <c r="C103" s="4" t="s">
        <v>90</v>
      </c>
      <c r="D103" s="4" t="s">
        <v>78</v>
      </c>
      <c r="E103" s="5">
        <v>147.26031</v>
      </c>
      <c r="F103" s="5">
        <v>147.25971000000001</v>
      </c>
      <c r="G103" s="8">
        <v>-600</v>
      </c>
      <c r="H103" s="4">
        <f t="shared" si="2"/>
        <v>0</v>
      </c>
    </row>
    <row r="104" spans="1:8" ht="15" customHeight="1" x14ac:dyDescent="0.3">
      <c r="A104" s="4">
        <v>53</v>
      </c>
      <c r="B104" s="4" t="s">
        <v>80</v>
      </c>
      <c r="C104" s="4" t="s">
        <v>86</v>
      </c>
      <c r="D104" s="4" t="s">
        <v>82</v>
      </c>
      <c r="E104" s="5">
        <v>145.89655999999999</v>
      </c>
      <c r="F104" s="5">
        <v>145.89321000000001</v>
      </c>
      <c r="G104" s="8">
        <v>3350</v>
      </c>
      <c r="H104" s="4">
        <f t="shared" si="2"/>
        <v>1</v>
      </c>
    </row>
    <row r="105" spans="1:8" ht="15" customHeight="1" x14ac:dyDescent="0.3">
      <c r="A105" s="4">
        <v>55</v>
      </c>
      <c r="B105" s="4" t="s">
        <v>89</v>
      </c>
      <c r="C105" s="4" t="s">
        <v>77</v>
      </c>
      <c r="D105" s="4" t="s">
        <v>78</v>
      </c>
      <c r="E105" s="5">
        <v>146.29441</v>
      </c>
      <c r="F105" s="5">
        <v>146.28888000000001</v>
      </c>
      <c r="G105" s="8">
        <v>-5530</v>
      </c>
      <c r="H105" s="4">
        <f t="shared" si="2"/>
        <v>0</v>
      </c>
    </row>
    <row r="106" spans="1:8" ht="15" customHeight="1" x14ac:dyDescent="0.3">
      <c r="A106" s="4">
        <v>60</v>
      </c>
      <c r="B106" s="4" t="s">
        <v>83</v>
      </c>
      <c r="C106" s="4" t="s">
        <v>77</v>
      </c>
      <c r="D106" s="4" t="s">
        <v>78</v>
      </c>
      <c r="E106" s="5">
        <v>153.05950999999999</v>
      </c>
      <c r="F106" s="5">
        <v>153.05701999999999</v>
      </c>
      <c r="G106" s="8">
        <v>-2490</v>
      </c>
      <c r="H106" s="4">
        <f t="shared" si="2"/>
        <v>0</v>
      </c>
    </row>
    <row r="107" spans="1:8" ht="15" customHeight="1" x14ac:dyDescent="0.3">
      <c r="A107" s="4">
        <v>63</v>
      </c>
      <c r="B107" s="4" t="s">
        <v>85</v>
      </c>
      <c r="C107" s="4" t="s">
        <v>86</v>
      </c>
      <c r="D107" s="4" t="s">
        <v>82</v>
      </c>
      <c r="E107" s="5">
        <v>140.52009000000001</v>
      </c>
      <c r="F107" s="5">
        <v>140.51518999999999</v>
      </c>
      <c r="G107" s="8">
        <v>4900</v>
      </c>
      <c r="H107" s="4">
        <f t="shared" si="2"/>
        <v>1</v>
      </c>
    </row>
    <row r="108" spans="1:8" ht="15" customHeight="1" x14ac:dyDescent="0.3">
      <c r="A108" s="4">
        <v>66</v>
      </c>
      <c r="B108" s="4" t="s">
        <v>85</v>
      </c>
      <c r="C108" s="4" t="s">
        <v>81</v>
      </c>
      <c r="D108" s="4" t="s">
        <v>82</v>
      </c>
      <c r="E108" s="5">
        <v>149.84578999999999</v>
      </c>
      <c r="F108" s="5">
        <v>149.84404000000001</v>
      </c>
      <c r="G108" s="8">
        <v>1750</v>
      </c>
      <c r="H108" s="4">
        <f t="shared" si="2"/>
        <v>1</v>
      </c>
    </row>
    <row r="109" spans="1:8" ht="15" customHeight="1" x14ac:dyDescent="0.3">
      <c r="A109" s="4">
        <v>69</v>
      </c>
      <c r="B109" s="4" t="s">
        <v>89</v>
      </c>
      <c r="C109" s="4" t="s">
        <v>81</v>
      </c>
      <c r="D109" s="4" t="s">
        <v>82</v>
      </c>
      <c r="E109" s="5">
        <v>148.46348</v>
      </c>
      <c r="F109" s="5">
        <v>148.46440000000001</v>
      </c>
      <c r="G109" s="8">
        <v>-920</v>
      </c>
      <c r="H109" s="4">
        <f t="shared" si="2"/>
        <v>0</v>
      </c>
    </row>
    <row r="110" spans="1:8" ht="15" customHeight="1" x14ac:dyDescent="0.3">
      <c r="A110" s="4">
        <v>79</v>
      </c>
      <c r="B110" s="4" t="s">
        <v>85</v>
      </c>
      <c r="C110" s="4" t="s">
        <v>90</v>
      </c>
      <c r="D110" s="4" t="s">
        <v>78</v>
      </c>
      <c r="E110" s="5">
        <v>153.35576</v>
      </c>
      <c r="F110" s="5">
        <v>153.36082999999999</v>
      </c>
      <c r="G110" s="8">
        <v>5070</v>
      </c>
      <c r="H110" s="4">
        <f t="shared" si="2"/>
        <v>1</v>
      </c>
    </row>
    <row r="111" spans="1:8" ht="15" customHeight="1" x14ac:dyDescent="0.3">
      <c r="A111" s="4">
        <v>97</v>
      </c>
      <c r="B111" s="4" t="s">
        <v>92</v>
      </c>
      <c r="C111" s="4" t="s">
        <v>90</v>
      </c>
      <c r="D111" s="4" t="s">
        <v>78</v>
      </c>
      <c r="E111" s="5">
        <v>153.98817</v>
      </c>
      <c r="F111" s="5">
        <v>153.98310000000001</v>
      </c>
      <c r="G111" s="8">
        <v>-5070</v>
      </c>
      <c r="H111" s="4">
        <f t="shared" si="2"/>
        <v>0</v>
      </c>
    </row>
    <row r="112" spans="1:8" ht="15" customHeight="1" x14ac:dyDescent="0.3">
      <c r="A112" s="4">
        <v>103</v>
      </c>
      <c r="B112" s="4" t="s">
        <v>80</v>
      </c>
      <c r="C112" s="4" t="s">
        <v>86</v>
      </c>
      <c r="D112" s="4" t="s">
        <v>82</v>
      </c>
      <c r="E112" s="5">
        <v>147.00092000000001</v>
      </c>
      <c r="F112" s="5">
        <v>147.00072</v>
      </c>
      <c r="G112" s="8">
        <v>200</v>
      </c>
      <c r="H112" s="4">
        <f t="shared" si="2"/>
        <v>1</v>
      </c>
    </row>
    <row r="113" spans="1:8" ht="15" customHeight="1" x14ac:dyDescent="0.3">
      <c r="A113" s="4">
        <v>105</v>
      </c>
      <c r="B113" s="4" t="s">
        <v>76</v>
      </c>
      <c r="C113" s="4" t="s">
        <v>90</v>
      </c>
      <c r="D113" s="4" t="s">
        <v>78</v>
      </c>
      <c r="E113" s="5">
        <v>149.24642</v>
      </c>
      <c r="F113" s="5">
        <v>149.23983000000001</v>
      </c>
      <c r="G113" s="8">
        <v>-6590</v>
      </c>
      <c r="H113" s="4">
        <f t="shared" si="2"/>
        <v>0</v>
      </c>
    </row>
    <row r="114" spans="1:8" ht="15" customHeight="1" x14ac:dyDescent="0.3">
      <c r="A114" s="4">
        <v>118</v>
      </c>
      <c r="B114" s="4" t="s">
        <v>85</v>
      </c>
      <c r="C114" s="4" t="s">
        <v>81</v>
      </c>
      <c r="D114" s="4" t="s">
        <v>82</v>
      </c>
      <c r="E114" s="5">
        <v>148.32031000000001</v>
      </c>
      <c r="F114" s="5">
        <v>148.32419999999999</v>
      </c>
      <c r="G114" s="8">
        <v>-3890</v>
      </c>
      <c r="H114" s="4">
        <f t="shared" si="2"/>
        <v>0</v>
      </c>
    </row>
    <row r="115" spans="1:8" ht="15" customHeight="1" x14ac:dyDescent="0.3">
      <c r="A115" s="4">
        <v>130</v>
      </c>
      <c r="B115" s="4" t="s">
        <v>76</v>
      </c>
      <c r="C115" s="4" t="s">
        <v>86</v>
      </c>
      <c r="D115" s="4" t="s">
        <v>82</v>
      </c>
      <c r="E115" s="5">
        <v>148.99039999999999</v>
      </c>
      <c r="F115" s="5">
        <v>148.99038999999999</v>
      </c>
      <c r="G115" s="8">
        <v>10</v>
      </c>
      <c r="H115" s="4">
        <f t="shared" si="2"/>
        <v>1</v>
      </c>
    </row>
    <row r="116" spans="1:8" ht="15" customHeight="1" x14ac:dyDescent="0.3">
      <c r="A116" s="4">
        <v>132</v>
      </c>
      <c r="B116" s="4" t="s">
        <v>83</v>
      </c>
      <c r="C116" s="4" t="s">
        <v>90</v>
      </c>
      <c r="D116" s="4" t="s">
        <v>78</v>
      </c>
      <c r="E116" s="5">
        <v>151.72449</v>
      </c>
      <c r="F116" s="5">
        <v>151.72308000000001</v>
      </c>
      <c r="G116" s="8">
        <v>-1410</v>
      </c>
      <c r="H116" s="4">
        <f t="shared" si="2"/>
        <v>0</v>
      </c>
    </row>
    <row r="117" spans="1:8" ht="15" customHeight="1" x14ac:dyDescent="0.3">
      <c r="A117" s="4">
        <v>135</v>
      </c>
      <c r="B117" s="4" t="s">
        <v>89</v>
      </c>
      <c r="C117" s="4" t="s">
        <v>90</v>
      </c>
      <c r="D117" s="4" t="s">
        <v>78</v>
      </c>
      <c r="E117" s="5">
        <v>144.08976000000001</v>
      </c>
      <c r="F117" s="5">
        <v>144.08765</v>
      </c>
      <c r="G117" s="8">
        <v>-2110</v>
      </c>
      <c r="H117" s="4">
        <f t="shared" si="2"/>
        <v>0</v>
      </c>
    </row>
    <row r="118" spans="1:8" ht="15" customHeight="1" x14ac:dyDescent="0.3">
      <c r="A118" s="4">
        <v>150</v>
      </c>
      <c r="B118" s="4" t="s">
        <v>91</v>
      </c>
      <c r="C118" s="4" t="s">
        <v>81</v>
      </c>
      <c r="D118" s="4" t="s">
        <v>82</v>
      </c>
      <c r="E118" s="5">
        <v>152.47310999999999</v>
      </c>
      <c r="F118" s="5">
        <v>152.47611000000001</v>
      </c>
      <c r="G118" s="8">
        <v>-3000</v>
      </c>
      <c r="H118" s="4">
        <f t="shared" si="2"/>
        <v>0</v>
      </c>
    </row>
    <row r="120" spans="1:8" ht="15" customHeight="1" x14ac:dyDescent="0.3">
      <c r="A120" s="11" t="s">
        <v>113</v>
      </c>
      <c r="B120">
        <f>COUNT(A93:A118)</f>
        <v>26</v>
      </c>
    </row>
    <row r="121" spans="1:8" ht="15" customHeight="1" x14ac:dyDescent="0.3">
      <c r="A121" s="11" t="s">
        <v>105</v>
      </c>
      <c r="B121" s="23">
        <f>SUM(H93:H118)/COUNT(A93:A118)</f>
        <v>0.46153846153846156</v>
      </c>
    </row>
    <row r="122" spans="1:8" ht="15" customHeight="1" x14ac:dyDescent="0.3">
      <c r="A122" s="11" t="s">
        <v>114</v>
      </c>
      <c r="B122" s="24">
        <f>AVERAGE(G93:G118)</f>
        <v>-279.61538461538464</v>
      </c>
    </row>
    <row r="123" spans="1:8" ht="15" customHeight="1" x14ac:dyDescent="0.3">
      <c r="A123" s="11" t="s">
        <v>115</v>
      </c>
      <c r="B123" s="24">
        <f>SUMIF(G93:G118,"&gt;0")</f>
        <v>27630</v>
      </c>
    </row>
    <row r="124" spans="1:8" ht="15" customHeight="1" x14ac:dyDescent="0.3">
      <c r="A124" s="11" t="s">
        <v>116</v>
      </c>
      <c r="B124" s="24">
        <f>SUMIF(G93:G118,"&lt;0")</f>
        <v>-34900</v>
      </c>
    </row>
    <row r="125" spans="1:8" ht="15" customHeight="1" x14ac:dyDescent="0.3">
      <c r="A125" s="11" t="s">
        <v>107</v>
      </c>
      <c r="B125" s="25">
        <f>B123/ABS(B124)</f>
        <v>0.79169054441260744</v>
      </c>
    </row>
  </sheetData>
  <mergeCells count="3">
    <mergeCell ref="A4:H4"/>
    <mergeCell ref="A48:H48"/>
    <mergeCell ref="A91:H9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RSI_Validation</vt:lpstr>
      <vt:lpstr>Trade_Validation</vt:lpstr>
      <vt:lpstr>Summary_CrossCheck</vt:lpstr>
      <vt:lpstr>MultiPair_Validation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koduri thanay</cp:lastModifiedBy>
  <cp:revision>0</cp:revision>
  <dcterms:created xsi:type="dcterms:W3CDTF">2026-07-17T09:08:07Z</dcterms:created>
  <dcterms:modified xsi:type="dcterms:W3CDTF">2026-07-17T09:34:07Z</dcterms:modified>
  <dc:language>en-US</dc:language>
</cp:coreProperties>
</file>